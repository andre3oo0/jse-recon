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en Breaks" sheetId="2" state="visible" r:id="rId4"/>
    <sheet name="New Today" sheetId="3" state="visible" r:id="rId5"/>
    <sheet name="Cleared" sheetId="4" state="visible" r:id="rId6"/>
    <sheet name="Restatements" sheetId="5" state="visible" r:id="rId7"/>
    <sheet name="Data Quality" sheetId="6" state="visible" r:id="rId8"/>
    <sheet name="Holdings" sheetId="7" state="visible" r:id="rId9"/>
    <sheet name="Approved Prices" sheetId="8" state="visible" r:id="rId10"/>
    <sheet name="Answers" sheetId="9" state="visible" r:id="rId11"/>
    <sheet name="About" sheetId="10" state="visible" r:id="rId12"/>
  </sheets>
  <definedNames>
    <definedName function="false" hidden="true" localSheetId="7" name="_xlnm._FilterDatabase" vbProcedure="false">'Approved Prices'!$A$1:$F$13</definedName>
    <definedName function="false" hidden="true" localSheetId="3" name="_xlnm._FilterDatabase" vbProcedure="false">Cleared!$A$1:$M$12</definedName>
    <definedName function="false" hidden="true" localSheetId="5" name="_xlnm._FilterDatabase" vbProcedure="false">'Data Quality'!$A$1:$E$6</definedName>
    <definedName function="false" hidden="true" localSheetId="6" name="_xlnm._FilterDatabase" vbProcedure="false">Holdings!$A$1:$M$2</definedName>
    <definedName function="false" hidden="true" localSheetId="2" name="_xlnm._FilterDatabase" vbProcedure="false">'New Today'!$A$1:$K$3</definedName>
    <definedName function="false" hidden="true" localSheetId="1" name="_xlnm._FilterDatabase" vbProcedure="false">'Open Breaks'!$A$1:$U$20</definedName>
    <definedName function="false" hidden="true" localSheetId="4" name="_xlnm._FilterDatabase" vbProcedure="false">Restatements!$A$1:$G$14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<sst xmlns="http://schemas.openxmlformats.org/spreadsheetml/2006/main" count="588" uniqueCount="241">
  <si>
    <t xml:space="preserve">JSE price reconciliation: break report</t>
  </si>
  <si>
    <t xml:space="preserve">As of 2026-09-11. Generated 2026-09-30 10:57 SAST. Every count below is a formula over the tab named beside it.</t>
  </si>
  <si>
    <t xml:space="preserve">Breaks between sources</t>
  </si>
  <si>
    <t xml:space="preserve">Open breaks</t>
  </si>
  <si>
    <t xml:space="preserve">Open Breaks tab</t>
  </si>
  <si>
    <t xml:space="preserve">  open 0-1 days</t>
  </si>
  <si>
    <t xml:space="preserve">  open 2-5 days</t>
  </si>
  <si>
    <t xml:space="preserve">  open 6-20 days</t>
  </si>
  <si>
    <t xml:space="preserve">  open 21+ days</t>
  </si>
  <si>
    <t xml:space="preserve">New in the latest comparison</t>
  </si>
  <si>
    <t xml:space="preserve">New Today tab</t>
  </si>
  <si>
    <t xml:space="preserve">Cleared as timing differences</t>
  </si>
  <si>
    <t xml:space="preserve">Cleared tab</t>
  </si>
  <si>
    <t xml:space="preserve">Cleared after longer</t>
  </si>
  <si>
    <t xml:space="preserve">Mean trading days to clear</t>
  </si>
  <si>
    <t xml:space="preserve">Open breaks over 50% (scale)</t>
  </si>
  <si>
    <t xml:space="preserve">Largest open cost in a Top 40 fund</t>
  </si>
  <si>
    <t xml:space="preserve">Restatements since the previous snapshot</t>
  </si>
  <si>
    <t xml:space="preserve">Prices rewritten</t>
  </si>
  <si>
    <t xml:space="preserve">Restatements tab</t>
  </si>
  <si>
    <t xml:space="preserve">Prices published late</t>
  </si>
  <si>
    <t xml:space="preserve">Prices withdrawn</t>
  </si>
  <si>
    <t xml:space="preserve">Data quality, latest full snapshot</t>
  </si>
  <si>
    <t xml:space="preserve">Unit anomalies</t>
  </si>
  <si>
    <t xml:space="preserve">Data Quality tab</t>
  </si>
  <si>
    <t xml:space="preserve">Missing sessions</t>
  </si>
  <si>
    <t xml:space="preserve">Missing prices</t>
  </si>
  <si>
    <t xml:space="preserve">Frozen prices</t>
  </si>
  <si>
    <t xml:space="preserve">Prices on closed days</t>
  </si>
  <si>
    <t xml:space="preserve">Broker statement against the internal book</t>
  </si>
  <si>
    <t xml:space="preserve">Positions compared</t>
  </si>
  <si>
    <t xml:space="preserve">Holdings tab</t>
  </si>
  <si>
    <t xml:space="preserve">Positions agreeing</t>
  </si>
  <si>
    <t xml:space="preserve">Holdings breaks</t>
  </si>
  <si>
    <t xml:space="preserve">Net difference (R)</t>
  </si>
  <si>
    <t xml:space="preserve">Gross difference (R)</t>
  </si>
  <si>
    <t xml:space="preserve">  of which errors (R)</t>
  </si>
  <si>
    <t xml:space="preserve">  of which timing differences (R)</t>
  </si>
  <si>
    <t xml:space="preserve">Positions that could not be valued</t>
  </si>
  <si>
    <t xml:space="preserve">Recon</t>
  </si>
  <si>
    <t xml:space="preserve">Security</t>
  </si>
  <si>
    <t xml:space="preserve">Name</t>
  </si>
  <si>
    <t xml:space="preserve">Sector</t>
  </si>
  <si>
    <t xml:space="preserve">Price date</t>
  </si>
  <si>
    <t xml:space="preserve">First seen</t>
  </si>
  <si>
    <t xml:space="preserve">Last seen</t>
  </si>
  <si>
    <t xml:space="preserve">Age (trading days)</t>
  </si>
  <si>
    <t xml:space="preserve">Age bucket</t>
  </si>
  <si>
    <t xml:space="preserve">Status</t>
  </si>
  <si>
    <t xml:space="preserve">Close A (R)</t>
  </si>
  <si>
    <t xml:space="preserve">Close B (R)</t>
  </si>
  <si>
    <t xml:space="preserve">Difference (R)</t>
  </si>
  <si>
    <t xml:space="preserve">Difference (%)</t>
  </si>
  <si>
    <t xml:space="preserve">Explanation</t>
  </si>
  <si>
    <t xml:space="preserve">Resolution</t>
  </si>
  <si>
    <t xml:space="preserve">Note</t>
  </si>
  <si>
    <t xml:space="preserve">Age from price date</t>
  </si>
  <si>
    <t xml:space="preserve">Found on first comparison</t>
  </si>
  <si>
    <t xml:space="preserve">Top 40 weight</t>
  </si>
  <si>
    <t xml:space="preserve">Cost in a Top 40 fund</t>
  </si>
  <si>
    <t xml:space="preserve">synthetic_a_vs_synthetic_b</t>
  </si>
  <si>
    <t xml:space="preserve">SYJ</t>
  </si>
  <si>
    <t xml:space="preserve">Synthetic Kappa Ltd (fictional)</t>
  </si>
  <si>
    <t xml:space="preserve">Basic Materials</t>
  </si>
  <si>
    <t xml:space="preserve">CAL</t>
  </si>
  <si>
    <t xml:space="preserve">One side has a bar on a day the JSE was closed</t>
  </si>
  <si>
    <t xml:space="preserve">Yes</t>
  </si>
  <si>
    <t xml:space="preserve">SYC</t>
  </si>
  <si>
    <t xml:space="preserve">Synthetic Gamma Ltd (fictional)</t>
  </si>
  <si>
    <t xml:space="preserve">Technology</t>
  </si>
  <si>
    <t xml:space="preserve">UNIT</t>
  </si>
  <si>
    <t xml:space="preserve">Unit anomaly flagged in staging; B/A = 100.0000</t>
  </si>
  <si>
    <t xml:space="preserve">SYI</t>
  </si>
  <si>
    <t xml:space="preserve">Synthetic Iota Ltd (fictional)</t>
  </si>
  <si>
    <t xml:space="preserve">Financials</t>
  </si>
  <si>
    <t xml:space="preserve">SCALE</t>
  </si>
  <si>
    <t xml:space="preserve">Differs by R-79.32 (-99.38%): the sources disagree on scale, B/A = 0.0062</t>
  </si>
  <si>
    <t xml:space="preserve">Differs by R-80.12 (-99.38%): the sources disagree on scale, B/A = 0.0062</t>
  </si>
  <si>
    <t xml:space="preserve">Differs by R-79.25 (-99.38%): the sources disagree on scale, B/A = 0.0062</t>
  </si>
  <si>
    <t xml:space="preserve">Differs by R-89.02 (-99.37%): the sources disagree on scale, B/A = 0.0063</t>
  </si>
  <si>
    <t xml:space="preserve">Differs by R-89.35 (-99.37%): the sources disagree on scale, B/A = 0.0063</t>
  </si>
  <si>
    <t xml:space="preserve">Differs by R-78.36 (-99.37%): the sources disagree on scale, B/A = 0.0063</t>
  </si>
  <si>
    <t xml:space="preserve">No</t>
  </si>
  <si>
    <t xml:space="preserve">Differs by R-79.01 (-99.37%): the sources disagree on scale, B/A = 0.0063</t>
  </si>
  <si>
    <t xml:space="preserve">Differs by R-78.75 (-99.37%): the sources disagree on scale, B/A = 0.0063</t>
  </si>
  <si>
    <t xml:space="preserve">SYB</t>
  </si>
  <si>
    <t xml:space="preserve">Synthetic Beta Ltd (fictional)</t>
  </si>
  <si>
    <t xml:space="preserve">VAL</t>
  </si>
  <si>
    <t xml:space="preserve">Differs by R-0.40 (-1.96%), over both R0.01 and 0.05%</t>
  </si>
  <si>
    <t xml:space="preserve">SYE</t>
  </si>
  <si>
    <t xml:space="preserve">Synthetic Epsilon Ltd (fictional)</t>
  </si>
  <si>
    <t xml:space="preserve">STALE</t>
  </si>
  <si>
    <t xml:space="preserve">Differs by R0.53 (1.06%); one side unchanged for 6 sessions</t>
  </si>
  <si>
    <t xml:space="preserve">SYG</t>
  </si>
  <si>
    <t xml:space="preserve">Synthetic Eta Ltd (fictional)</t>
  </si>
  <si>
    <t xml:space="preserve">Differs by R0.53 (0.76%), over both R0.01 and 0.05%</t>
  </si>
  <si>
    <t xml:space="preserve">SYF</t>
  </si>
  <si>
    <t xml:space="preserve">Synthetic Zeta Ltd (fictional)</t>
  </si>
  <si>
    <t xml:space="preserve">Differs by R0.37 (0.61%), over both R0.01 and 0.05%</t>
  </si>
  <si>
    <t xml:space="preserve">SYH</t>
  </si>
  <si>
    <t xml:space="preserve">Synthetic Theta Ltd (fictional)</t>
  </si>
  <si>
    <t xml:space="preserve">Consumer Staples</t>
  </si>
  <si>
    <t xml:space="preserve">Differs by R-0.28 (-0.36%), over both R0.01 and 0.05%</t>
  </si>
  <si>
    <t xml:space="preserve">Differs by R0.11 (0.23%); one side unchanged for 5 sessions</t>
  </si>
  <si>
    <t xml:space="preserve">Differs by R0.09 (0.18%), over both R0.01 and 0.05%</t>
  </si>
  <si>
    <t xml:space="preserve">Differs by R-0.06 (-0.12%), over both R0.01 and 0.05%</t>
  </si>
  <si>
    <t xml:space="preserve">State</t>
  </si>
  <si>
    <t xml:space="preserve">OPEN</t>
  </si>
  <si>
    <t xml:space="preserve">Cleared on</t>
  </si>
  <si>
    <t xml:space="preserve">Comparisons</t>
  </si>
  <si>
    <t xml:space="preserve">First status</t>
  </si>
  <si>
    <t xml:space="preserve">Last explanation</t>
  </si>
  <si>
    <t xml:space="preserve">SYA</t>
  </si>
  <si>
    <t xml:space="preserve">Synthetic Alpha Ltd (fictional)</t>
  </si>
  <si>
    <t xml:space="preserve">ONE_B</t>
  </si>
  <si>
    <t xml:space="preserve">TIMING</t>
  </si>
  <si>
    <t xml:space="preserve">In B only</t>
  </si>
  <si>
    <t xml:space="preserve">SYD</t>
  </si>
  <si>
    <t xml:space="preserve">Synthetic Delta Ltd (fictional)</t>
  </si>
  <si>
    <t xml:space="preserve">SYK</t>
  </si>
  <si>
    <t xml:space="preserve">Synthetic Lambda Ltd (fictional)</t>
  </si>
  <si>
    <t xml:space="preserve">SYL</t>
  </si>
  <si>
    <t xml:space="preserve">Synthetic Mu Ltd (fictional)</t>
  </si>
  <si>
    <t xml:space="preserve">Close in 2026-09-10 snapshot (R)</t>
  </si>
  <si>
    <t xml:space="preserve">Close in 2026-09-11 snapshot (R)</t>
  </si>
  <si>
    <t xml:space="preserve">Differs by R0.40 (2.00%), over both R0.01 and 0.01%</t>
  </si>
  <si>
    <t xml:space="preserve">Check</t>
  </si>
  <si>
    <t xml:space="preserve">Date</t>
  </si>
  <si>
    <t xml:space="preserve">Detail</t>
  </si>
  <si>
    <t xml:space="preserve">Source</t>
  </si>
  <si>
    <t xml:space="preserve">Unit anomaly</t>
  </si>
  <si>
    <t xml:space="preserve">R0.30, about 100x below its nearest bars (R30.15 and R29.97)</t>
  </si>
  <si>
    <t xml:space="preserve">synthetic_a</t>
  </si>
  <si>
    <t xml:space="preserve">Missing price</t>
  </si>
  <si>
    <t xml:space="preserve">No price on a trading day</t>
  </si>
  <si>
    <t xml:space="preserve">Frozen price</t>
  </si>
  <si>
    <t xml:space="preserve">R49.73 unchanged for 6 sessions</t>
  </si>
  <si>
    <t xml:space="preserve">synthetic_b</t>
  </si>
  <si>
    <t xml:space="preserve">Price on closed day</t>
  </si>
  <si>
    <t xml:space="preserve">All</t>
  </si>
  <si>
    <t xml:space="preserve">1 prices on National Women's Day (observed), 1 with volume</t>
  </si>
  <si>
    <t xml:space="preserve">Statement lines</t>
  </si>
  <si>
    <t xml:space="preserve">Broker value (R)</t>
  </si>
  <si>
    <t xml:space="preserve">Broker price (R)</t>
  </si>
  <si>
    <t xml:space="preserve">Implied quantity</t>
  </si>
  <si>
    <t xml:space="preserve">Book quantity</t>
  </si>
  <si>
    <t xml:space="preserve">Settled quantity</t>
  </si>
  <si>
    <t xml:space="preserve">Our close (R)</t>
  </si>
  <si>
    <t xml:space="preserve">Previous close (R)</t>
  </si>
  <si>
    <t xml:space="preserve">Book at our close (R)</t>
  </si>
  <si>
    <t xml:space="preserve">No broker statement loaded</t>
  </si>
  <si>
    <t xml:space="preserve">Price to use (R)</t>
  </si>
  <si>
    <t xml:space="preserve">Why</t>
  </si>
  <si>
    <t xml:space="preserve">For 2026-09-11; exceptions first</t>
  </si>
  <si>
    <t xml:space="preserve">TO_VERIFY</t>
  </si>
  <si>
    <t xml:space="preserve">The sources disagree and the break has no resolution yet: confirm before use</t>
  </si>
  <si>
    <t xml:space="preserve">APPROVED</t>
  </si>
  <si>
    <t xml:space="preserve">Primary source, passed every check</t>
  </si>
  <si>
    <t xml:space="preserve">Can synthetic_a be trusted to value a fund of JSE shares?</t>
  </si>
  <si>
    <t xml:space="preserve">Evidence: snapshot 2026-09-11, 347 closing prices for 12 securities, 2026-08-03 to 2026-09-11.</t>
  </si>
  <si>
    <t xml:space="preserve">1. Are the prices right?</t>
  </si>
  <si>
    <t xml:space="preserve">   No. Of all 347 stored prices, 2026-08-03 to 2026-09-11, each as the latest snapshot holding it has it, 1 (0.288%) were about 100x wrong, on 1 days: 2026-08-20 (1 securities).</t>
  </si>
  <si>
    <t xml:space="preserve">   Separately, 2 day-on-day moves of 15% or more that the median share did not share (by 10% or more). These are not errors in themselves: each needs checking against company news before the price is used. The feed's adjusted close did not adjust 2 of them, so it cannot tell a corporate action from an error.</t>
  </si>
  <si>
    <t xml:space="preserve">2. What would those errors have cost?</t>
  </si>
  <si>
    <t xml:space="preserve">   For any fund: a price 100x too small understates the fund by 99% of that holding's weight, so a single holding above 0.51% of the fund breaches the 0.5% ASISA tolerance on its own.</t>
  </si>
  <si>
    <t xml:space="preserve">   Worst day for a Top 40 fund, 2026-08-20: 1,188bp (11.88% of NAV), 23.8x the tolerance, from SYC. Basis: SYNTHETIC weights at 2025-12-31.</t>
  </si>
  <si>
    <t xml:space="preserve">   Illustrative, equal-weighted across all 12 securities priced on 2026-08-20: 825bp (8.25%).</t>
  </si>
  <si>
    <t xml:space="preserve">   A unit check or a day-on-day movement check catches errors this large. The cost is what a fund valued from the raw feed, without those controls, would have shown.</t>
  </si>
  <si>
    <t xml:space="preserve">3. Is every trading day there?</t>
  </si>
  <si>
    <t xml:space="preserve">   Yes, all 29 trading days in the JSE calendar are present.</t>
  </si>
  <si>
    <t xml:space="preserve">4. Does the vendor rewrite history, or publish late?</t>
  </si>
  <si>
    <t xml:space="preserve">   Between snapshots 2026-09-10 and 2026-09-11, fetched 24 hours apart: 1 of 323 prices were rewritten, and 12 appeared only in the later snapshot. One pair of snapshots so far; re-measured with every new one.</t>
  </si>
  <si>
    <t xml:space="preserve">   2026-09-10 was published late. The ASISA standard allows the last available price only after checking it is fair and reasonable. Used unchecked, the previous day's prices would have misstated a Top 40 fund by +174bp (3.5x the tolerance; SYNTHETIC weights at 2025-12-31), or an equal-weighted fund of 12 securities by +79bp. Whether the delay matters depends on the fund's valuation point and publication deadline.</t>
  </si>
  <si>
    <t xml:space="preserve">5. Is the list of securities still accurate?</t>
  </si>
  <si>
    <t xml:space="preserve">   None of the 12 codes has been renamed or delisted.</t>
  </si>
  <si>
    <t xml:space="preserve">6. Are any prices suspiciously frozen?</t>
  </si>
  <si>
    <t xml:space="preserve">   1 times a price stayed identical for 5+ sessions. Longest: SYE, 6 sessions to 2026-08-19. 1 of the 1 had no volume after the first day, the mark of a suspension or a feed filling gaps; the others traded at an unchanged price, common for thinly traded shares. Each needs checking against a trading suspension.</t>
  </si>
  <si>
    <t xml:space="preserve">7. Do independent sources agree?</t>
  </si>
  <si>
    <t xml:space="preserve">   synthetic_a vs synthetic_b (12 securities, to 2026-09-11): 329 of 347 closes agree (94.8%); breaks: SCALE 9, VAL 6, STALE 2, CAL 1, UNIT 1. Volumes differed on 0% of matched days.</t>
  </si>
  <si>
    <t xml:space="preserve">8. When sources disagree, does it get fixed, and how fast?</t>
  </si>
  <si>
    <t xml:space="preserve">   synthetic_a_vs_synthetic_b: 30 disagreements tracked. 11 cleared within 2 trading days (timing differences), 0 took longer, and 19 are still open. Those that cleared took 1.0 trading days on average.</t>
  </si>
  <si>
    <t xml:space="preserve">   Analyst resolutions on the open breaks: no resolution yet 19 (config/break_notes.yaml).</t>
  </si>
  <si>
    <t xml:space="preserve">   17 of the open breaks were already there in the first comparison of that share, so their age counts from the price date, not from when they were found.</t>
  </si>
  <si>
    <t xml:space="preserve">   Oldest open: SYJ on 2026-08-10, 24 trading days after that price date.</t>
  </si>
  <si>
    <t xml:space="preserve">   Largest open: SYI on 2026-09-08, -99.4% apart (SCALE), which would cost a Top 40 fund 4.97% of NAV if the wrong price were used.</t>
  </si>
  <si>
    <t xml:space="preserve">9. Does the broker statement agree with the internal book?</t>
  </si>
  <si>
    <t xml:space="preserve">   No broker statement loaded.</t>
  </si>
  <si>
    <t xml:space="preserve">10. Which price should the fund use today, and why?</t>
  </si>
  <si>
    <t xml:space="preserve">   For 2026-09-11, using synthetic_a first, then synthetic_b, then the previous close: 11 approved, 1 to verify, 0 from synthetic_b, 0 carried forward.</t>
  </si>
  <si>
    <t xml:space="preserve">   TO_VERIFY, 1: The sources disagree and the break has no resolution yet: confirm before use (SYI).</t>
  </si>
  <si>
    <t xml:space="preserve">   Each share's price, source and reason are on the Approved Prices tab of the report.</t>
  </si>
  <si>
    <t xml:space="preserve">Can synthetic_b be trusted to value a fund of JSE shares?</t>
  </si>
  <si>
    <t xml:space="preserve">Evidence: snapshot 2026-09-11, 348 closing prices for 12 securities, 2026-08-03 to 2026-09-11.</t>
  </si>
  <si>
    <t xml:space="preserve">   No unit errors in all 348 stored prices, 2026-08-03 to 2026-09-11, each as the latest snapshot holding it has it.</t>
  </si>
  <si>
    <t xml:space="preserve">   Separately, 3 day-on-day moves of 15% or more that the median share did not share (by 10% or more). These are not errors in themselves: each needs checking against company news before the price is used. The feed's adjusted close did not adjust 3 of them, so it cannot tell a corporate action from an error.</t>
  </si>
  <si>
    <t xml:space="preserve">   Nothing to cost.</t>
  </si>
  <si>
    <t xml:space="preserve">   Between snapshots 2026-09-10 and 2026-09-11, fetched 24 hours apart: 0 of 336 prices were rewritten, and 0 appeared only in the later snapshot. One pair of snapshots so far; re-measured with every new one.</t>
  </si>
  <si>
    <t xml:space="preserve">   None frozen for 5+ sessions.</t>
  </si>
  <si>
    <t xml:space="preserve">As of</t>
  </si>
  <si>
    <t xml:space="preserve">2026-09-11</t>
  </si>
  <si>
    <t xml:space="preserve">Generated</t>
  </si>
  <si>
    <t xml:space="preserve">2026-09-30 10:57 SAST</t>
  </si>
  <si>
    <t xml:space="preserve">Latest synthetic_a snapshot</t>
  </si>
  <si>
    <t xml:space="preserve">2026-09-11, sessions complete to 2026-09-11</t>
  </si>
  <si>
    <t xml:space="preserve">Latest synthetic_b snapshot</t>
  </si>
  <si>
    <t xml:space="preserve">Tolerance, yahoo_vs_eodhd</t>
  </si>
  <si>
    <t xml:space="preserve">A break needs more than R0.01 and 0.05% difference in the close</t>
  </si>
  <si>
    <t xml:space="preserve">Tolerance, yahoo_vs_afx</t>
  </si>
  <si>
    <t xml:space="preserve">Tolerance, eodhd_vs_afx</t>
  </si>
  <si>
    <t xml:space="preserve">Tolerance, yahoo_restatement</t>
  </si>
  <si>
    <t xml:space="preserve">A break needs more than R0.01 and 0.01% difference in the close</t>
  </si>
  <si>
    <t xml:space="preserve">Tolerance, synthetic_a_vs_synthetic_b</t>
  </si>
  <si>
    <t xml:space="preserve">Tolerance, synthetic_a_restatement</t>
  </si>
  <si>
    <t xml:space="preserve">Tolerance, synthetic_b_restatement</t>
  </si>
  <si>
    <t xml:space="preserve">Age</t>
  </si>
  <si>
    <t xml:space="preserve">Trading days on the JSE calendar, from first sighting to clearing or to the latest comparison</t>
  </si>
  <si>
    <t xml:space="preserve">Cleared within 2 trading days of first being seen</t>
  </si>
  <si>
    <t xml:space="preserve">Rotation</t>
  </si>
  <si>
    <t xml:space="preserve">EODHD compares about 18 securities a day, so a break can only clear when its security comes round again, roughly weekly</t>
  </si>
  <si>
    <t xml:space="preserve">EODHD unit</t>
  </si>
  <si>
    <t xml:space="preserve">Assumed cents (ZAc); the API reports none. ABG.JSE closed 21743.0 on 2026-09-28, the same as Yahoo's 21743 ZAc</t>
  </si>
  <si>
    <t xml:space="preserve">Materiality</t>
  </si>
  <si>
    <t xml:space="preserve">ASISA Standard on NAV calculation for CIS portfolios, s10.3.3: suggested maximum tolerance for a pricing error is 0.5% of NAV. https://asisa.org.za/media/om5kbuwu/asisa-standard-nav-calculation-for-cis-portfolios-november-2015.pdf</t>
  </si>
  <si>
    <t xml:space="preserve">NAV basis</t>
  </si>
  <si>
    <t xml:space="preserve">Costs in the Answers tab assume an equal-weighted fund across the securities priced that day; illustrative, not a real holding</t>
  </si>
  <si>
    <t xml:space="preserve">Notes</t>
  </si>
  <si>
    <t xml:space="preserve">Resolutions and analyst notes come from config/break_notes.yaml in the repository</t>
  </si>
  <si>
    <t xml:space="preserve">Break codes</t>
  </si>
  <si>
    <t xml:space="preserve">MATCH</t>
  </si>
  <si>
    <t xml:space="preserve">Both sides agree within tolerance</t>
  </si>
  <si>
    <t xml:space="preserve">Both sides have a price and they differ by more than both the rand floor and the percentage</t>
  </si>
  <si>
    <t xml:space="preserve">ONE_A</t>
  </si>
  <si>
    <t xml:space="preserve">Only side A has a price for this security and date</t>
  </si>
  <si>
    <t xml:space="preserve">Only side B has a price; in a restatement recon, a price published late</t>
  </si>
  <si>
    <t xml:space="preserve">DUP</t>
  </si>
  <si>
    <t xml:space="preserve">A side has more than one row for the same security and date</t>
  </si>
  <si>
    <t xml:space="preserve">The sides are about 100x apart, or one side's unit is flagged or unknown</t>
  </si>
  <si>
    <t xml:space="preserve">A price on a day the JSE was closed</t>
  </si>
  <si>
    <t xml:space="preserve">A value break where one side's price has not moved for 5 or more sessions</t>
  </si>
  <si>
    <t xml:space="preserve">The sides are more than 50% apart but not about 100x: a different instrument or scale</t>
  </si>
  <si>
    <t xml:space="preserve">A break that cleared within 2 trading days of first being seen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</si>
</sst>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0%;\(0.00%\);\-"/>
    <numFmt numFmtId="168" formatCode="\R#,##0.00;&quot;(R&quot;#,##0.00\);\-"/>
    <numFmt numFmtId="169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8D7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D7D7"/>
        </patternFill>
      </fill>
    </dxf>
    <dxf>
      <fill>
        <patternFill>
          <bgColor rgb="FFFCEBC7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CEB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C7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breaks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Summary!$A$6:$A$9</c:f>
              <c:strCache>
                <c:ptCount val="4"/>
                <c:pt idx="0">
                  <c:v>  open 0-1 days</c:v>
                </c:pt>
                <c:pt idx="1">
                  <c:v>  open 2-5 days</c:v>
                </c:pt>
                <c:pt idx="2">
                  <c:v>  open 6-20 days</c:v>
                </c:pt>
                <c:pt idx="3">
                  <c:v>  open 21+ days</c:v>
                </c:pt>
              </c:strCache>
            </c:strRef>
          </c:cat>
          <c:val>
            <c:numRef>
              <c:f>Summary!$B$6:$B$9</c:f>
              <c:numCache>
                <c:formatCode>#,##0</c:formatCode>
                <c:ptCount val="4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1865006"/>
        <c:axId val="38421569"/>
      </c:barChart>
      <c:catAx>
        <c:axId val="818650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1569"/>
        <c:crosses val="autoZero"/>
        <c:auto val="1"/>
        <c:lblAlgn val="ctr"/>
        <c:lblOffset val="100"/>
        <c:noMultiLvlLbl val="0"/>
      </c:catAx>
      <c:valAx>
        <c:axId val="38421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Breaks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5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9</xdr:col>
      <xdr:colOff>525600</xdr:colOff>
      <xdr:row>14</xdr:row>
      <xdr:rowOff>34560</xdr:rowOff>
    </xdr:to>
    <xdr:graphicFrame>
      <xdr:nvGraphicFramePr>
        <xdr:cNvPr id="0" name="Chart 1"/>
        <xdr:cNvGraphicFramePr/>
      </xdr:nvGraphicFramePr>
      <xdr:xfrm>
        <a:off x="7337520" y="57168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2" t="s">
        <v>3</v>
      </c>
      <c r="B5" s="5" t="n">
        <f aca="false">SUM(B6:B9)</f>
        <v>19</v>
      </c>
      <c r="C5" s="2" t="s">
        <v>4</v>
      </c>
    </row>
    <row r="6" customFormat="false" ht="15" hidden="false" customHeight="false" outlineLevel="0" collapsed="false">
      <c r="A6" s="2" t="s">
        <v>5</v>
      </c>
      <c r="B6" s="5" t="n">
        <f aca="false">COUNTIFS('Open Breaks'!$I:$I,"0-1 days")</f>
        <v>19</v>
      </c>
      <c r="C6" s="2" t="s">
        <v>4</v>
      </c>
    </row>
    <row r="7" customFormat="false" ht="15" hidden="false" customHeight="false" outlineLevel="0" collapsed="false">
      <c r="A7" s="2" t="s">
        <v>6</v>
      </c>
      <c r="B7" s="5" t="n">
        <f aca="false">COUNTIFS('Open Breaks'!$I:$I,"2-5 days")</f>
        <v>0</v>
      </c>
      <c r="C7" s="2" t="s">
        <v>4</v>
      </c>
    </row>
    <row r="8" customFormat="false" ht="15" hidden="false" customHeight="false" outlineLevel="0" collapsed="false">
      <c r="A8" s="2" t="s">
        <v>7</v>
      </c>
      <c r="B8" s="5" t="n">
        <f aca="false">COUNTIFS('Open Breaks'!$I:$I,"6-20 days")</f>
        <v>0</v>
      </c>
      <c r="C8" s="2" t="s">
        <v>4</v>
      </c>
    </row>
    <row r="9" customFormat="false" ht="15" hidden="false" customHeight="false" outlineLevel="0" collapsed="false">
      <c r="A9" s="2" t="s">
        <v>8</v>
      </c>
      <c r="B9" s="5" t="n">
        <f aca="false">COUNTIFS('Open Breaks'!$I:$I,"21+ days")</f>
        <v>0</v>
      </c>
      <c r="C9" s="2" t="s">
        <v>4</v>
      </c>
    </row>
    <row r="10" customFormat="false" ht="15" hidden="false" customHeight="false" outlineLevel="0" collapsed="false">
      <c r="A10" s="2" t="s">
        <v>9</v>
      </c>
      <c r="B10" s="5" t="n">
        <f aca="false">COUNTA('New Today'!$B:$B)-1</f>
        <v>2</v>
      </c>
      <c r="C10" s="2" t="s">
        <v>10</v>
      </c>
    </row>
    <row r="11" customFormat="false" ht="15" hidden="false" customHeight="false" outlineLevel="0" collapsed="false">
      <c r="A11" s="2" t="s">
        <v>11</v>
      </c>
      <c r="B11" s="5" t="n">
        <f aca="false">COUNTIFS(Cleared!$J:$J,"TIMING")</f>
        <v>11</v>
      </c>
      <c r="C11" s="2" t="s">
        <v>12</v>
      </c>
    </row>
    <row r="12" customFormat="false" ht="15" hidden="false" customHeight="false" outlineLevel="0" collapsed="false">
      <c r="A12" s="2" t="s">
        <v>13</v>
      </c>
      <c r="B12" s="5" t="n">
        <f aca="false">COUNTIFS(Cleared!$J:$J,"CLEARED")</f>
        <v>0</v>
      </c>
      <c r="C12" s="2" t="s">
        <v>12</v>
      </c>
    </row>
    <row r="13" customFormat="false" ht="15" hidden="false" customHeight="false" outlineLevel="0" collapsed="false">
      <c r="A13" s="2" t="s">
        <v>14</v>
      </c>
      <c r="B13" s="6" t="n">
        <f aca="false">IFERROR(AVERAGE(Cleared!$I:$I),"-")</f>
        <v>1</v>
      </c>
      <c r="C13" s="2" t="s">
        <v>12</v>
      </c>
    </row>
    <row r="14" customFormat="false" ht="15" hidden="false" customHeight="false" outlineLevel="0" collapsed="false">
      <c r="A14" s="2" t="s">
        <v>15</v>
      </c>
      <c r="B14" s="5" t="n">
        <f aca="false">COUNTIFS('Open Breaks'!$J:$J,"SCALE")</f>
        <v>9</v>
      </c>
      <c r="C14" s="2" t="s">
        <v>4</v>
      </c>
    </row>
    <row r="15" customFormat="false" ht="15" hidden="false" customHeight="false" outlineLevel="0" collapsed="false">
      <c r="A15" s="2" t="s">
        <v>16</v>
      </c>
      <c r="B15" s="7" t="n">
        <f aca="false">MAX(MAX('Open Breaks'!$U:$U),-MIN('Open Breaks'!$U:$U))</f>
        <v>0.1188</v>
      </c>
      <c r="C15" s="2" t="s">
        <v>4</v>
      </c>
    </row>
    <row r="16" customFormat="false" ht="15" hidden="false" customHeight="false" outlineLevel="0" collapsed="false">
      <c r="A16" s="3" t="s">
        <v>17</v>
      </c>
      <c r="B16" s="4"/>
      <c r="C16" s="4"/>
    </row>
    <row r="17" customFormat="false" ht="15" hidden="false" customHeight="false" outlineLevel="0" collapsed="false">
      <c r="A17" s="2" t="s">
        <v>18</v>
      </c>
      <c r="B17" s="5" t="n">
        <f aca="false">COUNTIFS(Restatements!$C:$C,"VAL")+COUNTIFS(Restatements!$C:$C,"UNIT")+COUNTIFS(Restatements!$C:$C,"STALE")+COUNTIFS(Restatements!$C:$C,"SCALE")</f>
        <v>1</v>
      </c>
      <c r="C17" s="2" t="s">
        <v>19</v>
      </c>
    </row>
    <row r="18" customFormat="false" ht="15" hidden="false" customHeight="false" outlineLevel="0" collapsed="false">
      <c r="A18" s="2" t="s">
        <v>20</v>
      </c>
      <c r="B18" s="5" t="n">
        <f aca="false">COUNTIFS(Restatements!$C:$C,"ONE_B")</f>
        <v>12</v>
      </c>
      <c r="C18" s="2" t="s">
        <v>19</v>
      </c>
    </row>
    <row r="19" customFormat="false" ht="15" hidden="false" customHeight="false" outlineLevel="0" collapsed="false">
      <c r="A19" s="2" t="s">
        <v>21</v>
      </c>
      <c r="B19" s="5" t="n">
        <f aca="false">COUNTIFS(Restatements!$C:$C,"ONE_A")</f>
        <v>0</v>
      </c>
      <c r="C19" s="2" t="s">
        <v>19</v>
      </c>
    </row>
    <row r="20" customFormat="false" ht="15" hidden="false" customHeight="false" outlineLevel="0" collapsed="false">
      <c r="A20" s="3" t="s">
        <v>22</v>
      </c>
      <c r="B20" s="4"/>
      <c r="C20" s="4"/>
    </row>
    <row r="21" customFormat="false" ht="15" hidden="false" customHeight="false" outlineLevel="0" collapsed="false">
      <c r="A21" s="2" t="s">
        <v>23</v>
      </c>
      <c r="B21" s="5" t="n">
        <f aca="false">COUNTIFS('Data Quality'!$A:$A,"Unit anomaly")</f>
        <v>1</v>
      </c>
      <c r="C21" s="2" t="s">
        <v>24</v>
      </c>
    </row>
    <row r="22" customFormat="false" ht="15" hidden="false" customHeight="false" outlineLevel="0" collapsed="false">
      <c r="A22" s="2" t="s">
        <v>25</v>
      </c>
      <c r="B22" s="5" t="n">
        <f aca="false">COUNTIFS('Data Quality'!$A:$A,"Missing session")</f>
        <v>0</v>
      </c>
      <c r="C22" s="2" t="s">
        <v>24</v>
      </c>
    </row>
    <row r="23" customFormat="false" ht="15" hidden="false" customHeight="false" outlineLevel="0" collapsed="false">
      <c r="A23" s="2" t="s">
        <v>26</v>
      </c>
      <c r="B23" s="5" t="n">
        <f aca="false">COUNTIFS('Data Quality'!$A:$A,"Missing price")</f>
        <v>2</v>
      </c>
      <c r="C23" s="2" t="s">
        <v>24</v>
      </c>
    </row>
    <row r="24" customFormat="false" ht="15" hidden="false" customHeight="false" outlineLevel="0" collapsed="false">
      <c r="A24" s="2" t="s">
        <v>27</v>
      </c>
      <c r="B24" s="5" t="n">
        <f aca="false">COUNTIFS('Data Quality'!$A:$A,"Frozen price")</f>
        <v>1</v>
      </c>
      <c r="C24" s="2" t="s">
        <v>24</v>
      </c>
    </row>
    <row r="25" customFormat="false" ht="15" hidden="false" customHeight="false" outlineLevel="0" collapsed="false">
      <c r="A25" s="2" t="s">
        <v>28</v>
      </c>
      <c r="B25" s="5" t="n">
        <f aca="false">COUNTIFS('Data Quality'!$A:$A,"Price on closed day")</f>
        <v>1</v>
      </c>
      <c r="C25" s="2" t="s">
        <v>24</v>
      </c>
    </row>
    <row r="26" customFormat="false" ht="15" hidden="false" customHeight="false" outlineLevel="0" collapsed="false">
      <c r="A26" s="3" t="s">
        <v>29</v>
      </c>
      <c r="B26" s="4"/>
      <c r="C26" s="4"/>
    </row>
    <row r="27" customFormat="false" ht="15" hidden="false" customHeight="false" outlineLevel="0" collapsed="false">
      <c r="A27" s="2" t="s">
        <v>30</v>
      </c>
      <c r="B27" s="5" t="n">
        <f aca="false">COUNTA(Holdings!$B:$B)-1</f>
        <v>0</v>
      </c>
      <c r="C27" s="2" t="s">
        <v>31</v>
      </c>
    </row>
    <row r="28" customFormat="false" ht="15" hidden="false" customHeight="false" outlineLevel="0" collapsed="false">
      <c r="A28" s="2" t="s">
        <v>32</v>
      </c>
      <c r="B28" s="5" t="n">
        <f aca="false">COUNTIFS(Holdings!$B:$B,"MATCH")</f>
        <v>0</v>
      </c>
      <c r="C28" s="2" t="s">
        <v>31</v>
      </c>
    </row>
    <row r="29" customFormat="false" ht="15" hidden="false" customHeight="false" outlineLevel="0" collapsed="false">
      <c r="A29" s="2" t="s">
        <v>33</v>
      </c>
      <c r="B29" s="5" t="n">
        <f aca="false">COUNTA(Holdings!$B:$B)-1-COUNTIFS(Holdings!$B:$B,"MATCH")</f>
        <v>0</v>
      </c>
      <c r="C29" s="2" t="s">
        <v>31</v>
      </c>
    </row>
    <row r="30" customFormat="false" ht="15" hidden="false" customHeight="false" outlineLevel="0" collapsed="false">
      <c r="A30" s="2" t="s">
        <v>34</v>
      </c>
      <c r="B30" s="8" t="n">
        <f aca="false">SUM(Holdings!$L:$L)</f>
        <v>0</v>
      </c>
      <c r="C30" s="2" t="s">
        <v>31</v>
      </c>
    </row>
    <row r="31" customFormat="false" ht="15" hidden="false" customHeight="false" outlineLevel="0" collapsed="false">
      <c r="A31" s="2" t="s">
        <v>35</v>
      </c>
      <c r="B31" s="8" t="n">
        <f aca="false">SUMPRODUCT(ABS(Holdings!$L$2:$L$2000))</f>
        <v>0</v>
      </c>
      <c r="C31" s="2" t="s">
        <v>31</v>
      </c>
    </row>
    <row r="32" customFormat="false" ht="15" hidden="false" customHeight="false" outlineLevel="0" collapsed="false">
      <c r="A32" s="2" t="s">
        <v>36</v>
      </c>
      <c r="B32" s="8" t="n">
        <f aca="false">SUMPRODUCT(ABS(Holdings!$L$2:$L$2000)*(Holdings!$B$2:$B$2000&lt;&gt;"MATCH")*(Holdings!$B$2:$B$2000&lt;&gt;"SETTLE"))</f>
        <v>0</v>
      </c>
      <c r="C32" s="2" t="s">
        <v>31</v>
      </c>
    </row>
    <row r="33" customFormat="false" ht="15" hidden="false" customHeight="false" outlineLevel="0" collapsed="false">
      <c r="A33" s="2" t="s">
        <v>37</v>
      </c>
      <c r="B33" s="8" t="n">
        <f aca="false">SUMPRODUCT(ABS(Holdings!$L$2:$L$2000)*(Holdings!$B$2:$B$2000="SETTLE"))</f>
        <v>0</v>
      </c>
      <c r="C33" s="2" t="s">
        <v>31</v>
      </c>
    </row>
    <row r="34" customFormat="false" ht="15" hidden="false" customHeight="false" outlineLevel="0" collapsed="false">
      <c r="A34" s="2" t="s">
        <v>38</v>
      </c>
      <c r="B34" s="5" t="n">
        <f aca="false">SUMPRODUCT((Holdings!$B$2:$B$2000&lt;&gt;"")*(Holdings!$L$2:$L$2000=""))</f>
        <v>0</v>
      </c>
      <c r="C34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3" min="11" style="0" width="13"/>
    <col collapsed="false" customWidth="true" hidden="false" outlineLevel="0" max="14" min="14" style="0" width="12"/>
    <col collapsed="false" customWidth="true" hidden="false" outlineLevel="0" max="15" min="15" style="0" width="60"/>
    <col collapsed="false" customWidth="true" hidden="false" outlineLevel="0" max="16" min="16" style="0" width="16"/>
    <col collapsed="false" customWidth="true" hidden="false" outlineLevel="0" max="17" min="17" style="0" width="40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</row>
    <row r="2" customFormat="false" ht="15" hidden="false" customHeight="false" outlineLevel="0" collapsed="false">
      <c r="A2" s="2" t="s">
        <v>60</v>
      </c>
      <c r="B2" s="2" t="s">
        <v>61</v>
      </c>
      <c r="C2" s="2" t="s">
        <v>62</v>
      </c>
      <c r="D2" s="2" t="s">
        <v>63</v>
      </c>
      <c r="E2" s="10" t="n">
        <v>46244</v>
      </c>
      <c r="F2" s="10" t="n">
        <v>46275</v>
      </c>
      <c r="G2" s="10" t="n">
        <v>46276</v>
      </c>
      <c r="H2" s="5" t="n">
        <v>1</v>
      </c>
      <c r="I2" s="2" t="str">
        <f aca="false">IF(H2&lt;=1,"0-1 days",IF(H2&lt;=5,"2-5 days",IF(H2&lt;=20,"6-20 days","21+ days")))</f>
        <v>0-1 days</v>
      </c>
      <c r="J2" s="2" t="s">
        <v>64</v>
      </c>
      <c r="K2" s="8"/>
      <c r="L2" s="8" t="n">
        <v>102.4939</v>
      </c>
      <c r="M2" s="8"/>
      <c r="N2" s="7"/>
      <c r="O2" s="2" t="s">
        <v>65</v>
      </c>
      <c r="P2" s="2"/>
      <c r="Q2" s="2"/>
      <c r="R2" s="5" t="n">
        <v>24</v>
      </c>
      <c r="S2" s="2" t="s">
        <v>66</v>
      </c>
      <c r="T2" s="7" t="n">
        <v>0.04</v>
      </c>
      <c r="U2" s="7" t="str">
        <f aca="false">IF(OR(T2="",K2="",L2=""),"",T2*ABS(M2)/MAX(K2,L2))</f>
        <v/>
      </c>
    </row>
    <row r="3" customFormat="false" ht="15" hidden="false" customHeight="false" outlineLevel="0" collapsed="false">
      <c r="A3" s="2" t="s">
        <v>60</v>
      </c>
      <c r="B3" s="2" t="s">
        <v>67</v>
      </c>
      <c r="C3" s="2" t="s">
        <v>68</v>
      </c>
      <c r="D3" s="2" t="s">
        <v>69</v>
      </c>
      <c r="E3" s="10" t="n">
        <v>46254</v>
      </c>
      <c r="F3" s="10" t="n">
        <v>46275</v>
      </c>
      <c r="G3" s="10" t="n">
        <v>46276</v>
      </c>
      <c r="H3" s="5" t="n">
        <v>1</v>
      </c>
      <c r="I3" s="2" t="str">
        <f aca="false">IF(H3&lt;=1,"0-1 days",IF(H3&lt;=5,"2-5 days",IF(H3&lt;=20,"6-20 days","21+ days")))</f>
        <v>0-1 days</v>
      </c>
      <c r="J3" s="2" t="s">
        <v>70</v>
      </c>
      <c r="K3" s="8" t="n">
        <v>0.301812</v>
      </c>
      <c r="L3" s="8" t="n">
        <v>30.1812</v>
      </c>
      <c r="M3" s="8" t="n">
        <v>29.879388</v>
      </c>
      <c r="N3" s="7" t="n">
        <v>99</v>
      </c>
      <c r="O3" s="2" t="s">
        <v>71</v>
      </c>
      <c r="P3" s="2"/>
      <c r="Q3" s="2"/>
      <c r="R3" s="5" t="n">
        <v>16</v>
      </c>
      <c r="S3" s="2" t="s">
        <v>66</v>
      </c>
      <c r="T3" s="7" t="n">
        <v>0.12</v>
      </c>
      <c r="U3" s="7" t="n">
        <f aca="false">IF(OR(T3="",K3="",L3=""),"",T3*ABS(M3)/MAX(K3,L3))</f>
        <v>0.1188</v>
      </c>
    </row>
    <row r="4" customFormat="false" ht="15" hidden="false" customHeight="false" outlineLevel="0" collapsed="false">
      <c r="A4" s="2" t="s">
        <v>60</v>
      </c>
      <c r="B4" s="2" t="s">
        <v>72</v>
      </c>
      <c r="C4" s="2" t="s">
        <v>73</v>
      </c>
      <c r="D4" s="2" t="s">
        <v>74</v>
      </c>
      <c r="E4" s="10" t="n">
        <v>46273</v>
      </c>
      <c r="F4" s="10" t="n">
        <v>46275</v>
      </c>
      <c r="G4" s="10" t="n">
        <v>46276</v>
      </c>
      <c r="H4" s="5" t="n">
        <v>1</v>
      </c>
      <c r="I4" s="2" t="str">
        <f aca="false">IF(H4&lt;=1,"0-1 days",IF(H4&lt;=5,"2-5 days",IF(H4&lt;=20,"6-20 days","21+ days")))</f>
        <v>0-1 days</v>
      </c>
      <c r="J4" s="2" t="s">
        <v>75</v>
      </c>
      <c r="K4" s="8" t="n">
        <v>79.8234</v>
      </c>
      <c r="L4" s="8" t="n">
        <v>0.498896</v>
      </c>
      <c r="M4" s="8" t="n">
        <v>-79.324504</v>
      </c>
      <c r="N4" s="7" t="n">
        <v>-0.993750003131914</v>
      </c>
      <c r="O4" s="2" t="s">
        <v>76</v>
      </c>
      <c r="P4" s="2"/>
      <c r="Q4" s="2"/>
      <c r="R4" s="5" t="n">
        <v>3</v>
      </c>
      <c r="S4" s="2" t="s">
        <v>66</v>
      </c>
      <c r="T4" s="7" t="n">
        <v>0.05</v>
      </c>
      <c r="U4" s="7" t="n">
        <f aca="false">IF(OR(T4="",K4="",L4=""),"",T4*ABS(M4)/MAX(K4,L4))</f>
        <v>0.0496875001565957</v>
      </c>
    </row>
    <row r="5" customFormat="false" ht="15" hidden="false" customHeight="false" outlineLevel="0" collapsed="false">
      <c r="A5" s="2" t="s">
        <v>60</v>
      </c>
      <c r="B5" s="2" t="s">
        <v>72</v>
      </c>
      <c r="C5" s="2" t="s">
        <v>73</v>
      </c>
      <c r="D5" s="2" t="s">
        <v>74</v>
      </c>
      <c r="E5" s="10" t="n">
        <v>46268</v>
      </c>
      <c r="F5" s="10" t="n">
        <v>46275</v>
      </c>
      <c r="G5" s="10" t="n">
        <v>46276</v>
      </c>
      <c r="H5" s="5" t="n">
        <v>1</v>
      </c>
      <c r="I5" s="2" t="str">
        <f aca="false">IF(H5&lt;=1,"0-1 days",IF(H5&lt;=5,"2-5 days",IF(H5&lt;=20,"6-20 days","21+ days")))</f>
        <v>0-1 days</v>
      </c>
      <c r="J5" s="2" t="s">
        <v>75</v>
      </c>
      <c r="K5" s="8" t="n">
        <v>80.6258</v>
      </c>
      <c r="L5" s="8" t="n">
        <v>0.503911</v>
      </c>
      <c r="M5" s="8" t="n">
        <v>-80.121889</v>
      </c>
      <c r="N5" s="7" t="n">
        <v>-0.993750003100745</v>
      </c>
      <c r="O5" s="2" t="s">
        <v>77</v>
      </c>
      <c r="P5" s="2"/>
      <c r="Q5" s="2"/>
      <c r="R5" s="5" t="n">
        <v>6</v>
      </c>
      <c r="S5" s="2" t="s">
        <v>66</v>
      </c>
      <c r="T5" s="7" t="n">
        <v>0.05</v>
      </c>
      <c r="U5" s="7" t="n">
        <f aca="false">IF(OR(T5="",K5="",L5=""),"",T5*ABS(M5)/MAX(K5,L5))</f>
        <v>0.0496875001550372</v>
      </c>
    </row>
    <row r="6" customFormat="false" ht="15" hidden="false" customHeight="false" outlineLevel="0" collapsed="false">
      <c r="A6" s="2" t="s">
        <v>60</v>
      </c>
      <c r="B6" s="2" t="s">
        <v>72</v>
      </c>
      <c r="C6" s="2" t="s">
        <v>73</v>
      </c>
      <c r="D6" s="2" t="s">
        <v>74</v>
      </c>
      <c r="E6" s="10" t="n">
        <v>46274</v>
      </c>
      <c r="F6" s="10" t="n">
        <v>46275</v>
      </c>
      <c r="G6" s="10" t="n">
        <v>46276</v>
      </c>
      <c r="H6" s="5" t="n">
        <v>1</v>
      </c>
      <c r="I6" s="2" t="str">
        <f aca="false">IF(H6&lt;=1,"0-1 days",IF(H6&lt;=5,"2-5 days",IF(H6&lt;=20,"6-20 days","21+ days")))</f>
        <v>0-1 days</v>
      </c>
      <c r="J6" s="2" t="s">
        <v>75</v>
      </c>
      <c r="K6" s="8" t="n">
        <v>79.7437</v>
      </c>
      <c r="L6" s="8" t="n">
        <v>0.498398</v>
      </c>
      <c r="M6" s="8" t="n">
        <v>-79.245302</v>
      </c>
      <c r="N6" s="7" t="n">
        <v>-0.993750001567522</v>
      </c>
      <c r="O6" s="2" t="s">
        <v>78</v>
      </c>
      <c r="P6" s="2"/>
      <c r="Q6" s="2"/>
      <c r="R6" s="5" t="n">
        <v>2</v>
      </c>
      <c r="S6" s="2" t="s">
        <v>66</v>
      </c>
      <c r="T6" s="7" t="n">
        <v>0.05</v>
      </c>
      <c r="U6" s="7" t="n">
        <f aca="false">IF(OR(T6="",K6="",L6=""),"",T6*ABS(M6)/MAX(K6,L6))</f>
        <v>0.0496875000783761</v>
      </c>
    </row>
    <row r="7" customFormat="false" ht="15" hidden="false" customHeight="false" outlineLevel="0" collapsed="false">
      <c r="A7" s="2" t="s">
        <v>60</v>
      </c>
      <c r="B7" s="2" t="s">
        <v>72</v>
      </c>
      <c r="C7" s="2" t="s">
        <v>73</v>
      </c>
      <c r="D7" s="2" t="s">
        <v>74</v>
      </c>
      <c r="E7" s="10" t="n">
        <v>46269</v>
      </c>
      <c r="F7" s="10" t="n">
        <v>46275</v>
      </c>
      <c r="G7" s="10" t="n">
        <v>46276</v>
      </c>
      <c r="H7" s="5" t="n">
        <v>1</v>
      </c>
      <c r="I7" s="2" t="str">
        <f aca="false">IF(H7&lt;=1,"0-1 days",IF(H7&lt;=5,"2-5 days",IF(H7&lt;=20,"6-20 days","21+ days")))</f>
        <v>0-1 days</v>
      </c>
      <c r="J7" s="2" t="s">
        <v>75</v>
      </c>
      <c r="K7" s="8" t="n">
        <v>79.8205</v>
      </c>
      <c r="L7" s="8" t="n">
        <v>0.498878</v>
      </c>
      <c r="M7" s="8" t="n">
        <v>-79.321622</v>
      </c>
      <c r="N7" s="7" t="n">
        <v>-0.993750001566014</v>
      </c>
      <c r="O7" s="2" t="s">
        <v>76</v>
      </c>
      <c r="P7" s="2"/>
      <c r="Q7" s="2"/>
      <c r="R7" s="5" t="n">
        <v>5</v>
      </c>
      <c r="S7" s="2" t="s">
        <v>66</v>
      </c>
      <c r="T7" s="7" t="n">
        <v>0.05</v>
      </c>
      <c r="U7" s="7" t="n">
        <f aca="false">IF(OR(T7="",K7="",L7=""),"",T7*ABS(M7)/MAX(K7,L7))</f>
        <v>0.0496875000783007</v>
      </c>
    </row>
    <row r="8" customFormat="false" ht="15" hidden="false" customHeight="false" outlineLevel="0" collapsed="false">
      <c r="A8" s="2" t="s">
        <v>60</v>
      </c>
      <c r="B8" s="2" t="s">
        <v>72</v>
      </c>
      <c r="C8" s="2" t="s">
        <v>73</v>
      </c>
      <c r="D8" s="2" t="s">
        <v>74</v>
      </c>
      <c r="E8" s="10" t="n">
        <v>46266</v>
      </c>
      <c r="F8" s="10" t="n">
        <v>46275</v>
      </c>
      <c r="G8" s="10" t="n">
        <v>46276</v>
      </c>
      <c r="H8" s="5" t="n">
        <v>1</v>
      </c>
      <c r="I8" s="2" t="str">
        <f aca="false">IF(H8&lt;=1,"0-1 days",IF(H8&lt;=5,"2-5 days",IF(H8&lt;=20,"6-20 days","21+ days")))</f>
        <v>0-1 days</v>
      </c>
      <c r="J8" s="2" t="s">
        <v>75</v>
      </c>
      <c r="K8" s="8" t="n">
        <v>89.5808</v>
      </c>
      <c r="L8" s="8" t="n">
        <v>0.55988</v>
      </c>
      <c r="M8" s="8" t="n">
        <v>-89.02092</v>
      </c>
      <c r="N8" s="7" t="n">
        <v>-0.99375</v>
      </c>
      <c r="O8" s="2" t="s">
        <v>79</v>
      </c>
      <c r="P8" s="2"/>
      <c r="Q8" s="2"/>
      <c r="R8" s="5" t="n">
        <v>8</v>
      </c>
      <c r="S8" s="2" t="s">
        <v>66</v>
      </c>
      <c r="T8" s="7" t="n">
        <v>0.05</v>
      </c>
      <c r="U8" s="7" t="n">
        <f aca="false">IF(OR(T8="",K8="",L8=""),"",T8*ABS(M8)/MAX(K8,L8))</f>
        <v>0.0496875</v>
      </c>
    </row>
    <row r="9" customFormat="false" ht="15" hidden="false" customHeight="false" outlineLevel="0" collapsed="false">
      <c r="A9" s="2" t="s">
        <v>60</v>
      </c>
      <c r="B9" s="2" t="s">
        <v>72</v>
      </c>
      <c r="C9" s="2" t="s">
        <v>73</v>
      </c>
      <c r="D9" s="2" t="s">
        <v>74</v>
      </c>
      <c r="E9" s="10" t="n">
        <v>46267</v>
      </c>
      <c r="F9" s="10" t="n">
        <v>46275</v>
      </c>
      <c r="G9" s="10" t="n">
        <v>46276</v>
      </c>
      <c r="H9" s="5" t="n">
        <v>1</v>
      </c>
      <c r="I9" s="2" t="str">
        <f aca="false">IF(H9&lt;=1,"0-1 days",IF(H9&lt;=5,"2-5 days",IF(H9&lt;=20,"6-20 days","21+ days")))</f>
        <v>0-1 days</v>
      </c>
      <c r="J9" s="2" t="s">
        <v>75</v>
      </c>
      <c r="K9" s="8" t="n">
        <v>89.9094</v>
      </c>
      <c r="L9" s="8" t="n">
        <v>0.561934</v>
      </c>
      <c r="M9" s="8" t="n">
        <v>-89.347466</v>
      </c>
      <c r="N9" s="7" t="n">
        <v>-0.993749997219423</v>
      </c>
      <c r="O9" s="2" t="s">
        <v>80</v>
      </c>
      <c r="P9" s="2"/>
      <c r="Q9" s="2"/>
      <c r="R9" s="5" t="n">
        <v>7</v>
      </c>
      <c r="S9" s="2" t="s">
        <v>66</v>
      </c>
      <c r="T9" s="7" t="n">
        <v>0.05</v>
      </c>
      <c r="U9" s="7" t="n">
        <f aca="false">IF(OR(T9="",K9="",L9=""),"",T9*ABS(M9)/MAX(K9,L9))</f>
        <v>0.0496874998609712</v>
      </c>
    </row>
    <row r="10" customFormat="false" ht="15" hidden="false" customHeight="false" outlineLevel="0" collapsed="false">
      <c r="A10" s="2" t="s">
        <v>60</v>
      </c>
      <c r="B10" s="2" t="s">
        <v>72</v>
      </c>
      <c r="C10" s="2" t="s">
        <v>73</v>
      </c>
      <c r="D10" s="2" t="s">
        <v>74</v>
      </c>
      <c r="E10" s="10" t="n">
        <v>46276</v>
      </c>
      <c r="F10" s="10" t="n">
        <v>46276</v>
      </c>
      <c r="G10" s="10" t="n">
        <v>46276</v>
      </c>
      <c r="H10" s="5" t="n">
        <v>0</v>
      </c>
      <c r="I10" s="2" t="str">
        <f aca="false">IF(H10&lt;=1,"0-1 days",IF(H10&lt;=5,"2-5 days",IF(H10&lt;=20,"6-20 days","21+ days")))</f>
        <v>0-1 days</v>
      </c>
      <c r="J10" s="2" t="s">
        <v>75</v>
      </c>
      <c r="K10" s="8" t="n">
        <v>78.8494</v>
      </c>
      <c r="L10" s="8" t="n">
        <v>0.492809</v>
      </c>
      <c r="M10" s="8" t="n">
        <v>-78.356591</v>
      </c>
      <c r="N10" s="7" t="n">
        <v>-0.993749996829399</v>
      </c>
      <c r="O10" s="2" t="s">
        <v>81</v>
      </c>
      <c r="P10" s="2"/>
      <c r="Q10" s="2"/>
      <c r="R10" s="5" t="n">
        <v>0</v>
      </c>
      <c r="S10" s="2" t="s">
        <v>82</v>
      </c>
      <c r="T10" s="7" t="n">
        <v>0.05</v>
      </c>
      <c r="U10" s="7" t="n">
        <f aca="false">IF(OR(T10="",K10="",L10=""),"",T10*ABS(M10)/MAX(K10,L10))</f>
        <v>0.0496874998414699</v>
      </c>
    </row>
    <row r="11" customFormat="false" ht="15" hidden="false" customHeight="false" outlineLevel="0" collapsed="false">
      <c r="A11" s="2" t="s">
        <v>60</v>
      </c>
      <c r="B11" s="2" t="s">
        <v>72</v>
      </c>
      <c r="C11" s="2" t="s">
        <v>73</v>
      </c>
      <c r="D11" s="2" t="s">
        <v>74</v>
      </c>
      <c r="E11" s="10" t="n">
        <v>46272</v>
      </c>
      <c r="F11" s="10" t="n">
        <v>46275</v>
      </c>
      <c r="G11" s="10" t="n">
        <v>46276</v>
      </c>
      <c r="H11" s="5" t="n">
        <v>1</v>
      </c>
      <c r="I11" s="2" t="str">
        <f aca="false">IF(H11&lt;=1,"0-1 days",IF(H11&lt;=5,"2-5 days",IF(H11&lt;=20,"6-20 days","21+ days")))</f>
        <v>0-1 days</v>
      </c>
      <c r="J11" s="2" t="s">
        <v>75</v>
      </c>
      <c r="K11" s="8" t="n">
        <v>79.5041</v>
      </c>
      <c r="L11" s="8" t="n">
        <v>0.496901</v>
      </c>
      <c r="M11" s="8" t="n">
        <v>-79.007199</v>
      </c>
      <c r="N11" s="7" t="n">
        <v>-0.993749995283262</v>
      </c>
      <c r="O11" s="2" t="s">
        <v>83</v>
      </c>
      <c r="P11" s="2"/>
      <c r="Q11" s="2"/>
      <c r="R11" s="5" t="n">
        <v>4</v>
      </c>
      <c r="S11" s="2" t="s">
        <v>66</v>
      </c>
      <c r="T11" s="7" t="n">
        <v>0.05</v>
      </c>
      <c r="U11" s="7" t="n">
        <f aca="false">IF(OR(T11="",K11="",L11=""),"",T11*ABS(M11)/MAX(K11,L11))</f>
        <v>0.0496874997641631</v>
      </c>
    </row>
    <row r="12" customFormat="false" ht="15" hidden="false" customHeight="false" outlineLevel="0" collapsed="false">
      <c r="A12" s="2" t="s">
        <v>60</v>
      </c>
      <c r="B12" s="2" t="s">
        <v>72</v>
      </c>
      <c r="C12" s="2" t="s">
        <v>73</v>
      </c>
      <c r="D12" s="2" t="s">
        <v>74</v>
      </c>
      <c r="E12" s="10" t="n">
        <v>46275</v>
      </c>
      <c r="F12" s="10" t="n">
        <v>46275</v>
      </c>
      <c r="G12" s="10" t="n">
        <v>46276</v>
      </c>
      <c r="H12" s="5" t="n">
        <v>1</v>
      </c>
      <c r="I12" s="2" t="str">
        <f aca="false">IF(H12&lt;=1,"0-1 days",IF(H12&lt;=5,"2-5 days",IF(H12&lt;=20,"6-20 days","21+ days")))</f>
        <v>0-1 days</v>
      </c>
      <c r="J12" s="2" t="s">
        <v>75</v>
      </c>
      <c r="K12" s="8" t="n">
        <v>79.2484</v>
      </c>
      <c r="L12" s="8" t="n">
        <v>0.495303</v>
      </c>
      <c r="M12" s="8" t="n">
        <v>-78.753097</v>
      </c>
      <c r="N12" s="7" t="n">
        <v>-0.993749993690724</v>
      </c>
      <c r="O12" s="2" t="s">
        <v>84</v>
      </c>
      <c r="P12" s="2"/>
      <c r="Q12" s="2"/>
      <c r="R12" s="5" t="n">
        <v>1</v>
      </c>
      <c r="S12" s="2" t="s">
        <v>66</v>
      </c>
      <c r="T12" s="7" t="n">
        <v>0.05</v>
      </c>
      <c r="U12" s="7" t="n">
        <f aca="false">IF(OR(T12="",K12="",L12=""),"",T12*ABS(M12)/MAX(K12,L12))</f>
        <v>0.0496874996845362</v>
      </c>
    </row>
    <row r="13" customFormat="false" ht="15" hidden="false" customHeight="false" outlineLevel="0" collapsed="false">
      <c r="A13" s="2" t="s">
        <v>60</v>
      </c>
      <c r="B13" s="2" t="s">
        <v>85</v>
      </c>
      <c r="C13" s="2" t="s">
        <v>86</v>
      </c>
      <c r="D13" s="2" t="s">
        <v>63</v>
      </c>
      <c r="E13" s="10" t="n">
        <v>46266</v>
      </c>
      <c r="F13" s="10" t="n">
        <v>46276</v>
      </c>
      <c r="G13" s="10" t="n">
        <v>46276</v>
      </c>
      <c r="H13" s="5" t="n">
        <v>0</v>
      </c>
      <c r="I13" s="2" t="str">
        <f aca="false">IF(H13&lt;=1,"0-1 days",IF(H13&lt;=5,"2-5 days",IF(H13&lt;=20,"6-20 days","21+ days")))</f>
        <v>0-1 days</v>
      </c>
      <c r="J13" s="2" t="s">
        <v>87</v>
      </c>
      <c r="K13" s="8" t="n">
        <v>20.6397</v>
      </c>
      <c r="L13" s="8" t="n">
        <v>20.235</v>
      </c>
      <c r="M13" s="8" t="n">
        <v>-0.404699999999998</v>
      </c>
      <c r="N13" s="7" t="n">
        <v>-0.0196078431372548</v>
      </c>
      <c r="O13" s="2" t="s">
        <v>88</v>
      </c>
      <c r="P13" s="2"/>
      <c r="Q13" s="2"/>
      <c r="R13" s="5" t="n">
        <v>8</v>
      </c>
      <c r="S13" s="2" t="s">
        <v>82</v>
      </c>
      <c r="T13" s="7" t="n">
        <v>0.15</v>
      </c>
      <c r="U13" s="7" t="n">
        <f aca="false">IF(OR(T13="",K13="",L13=""),"",T13*ABS(M13)/MAX(K13,L13))</f>
        <v>0.00294117647058822</v>
      </c>
    </row>
    <row r="14" customFormat="false" ht="15" hidden="false" customHeight="false" outlineLevel="0" collapsed="false">
      <c r="A14" s="2" t="s">
        <v>60</v>
      </c>
      <c r="B14" s="2" t="s">
        <v>89</v>
      </c>
      <c r="C14" s="2" t="s">
        <v>90</v>
      </c>
      <c r="D14" s="2" t="s">
        <v>74</v>
      </c>
      <c r="E14" s="10" t="n">
        <v>46253</v>
      </c>
      <c r="F14" s="10" t="n">
        <v>46275</v>
      </c>
      <c r="G14" s="10" t="n">
        <v>46276</v>
      </c>
      <c r="H14" s="5" t="n">
        <v>1</v>
      </c>
      <c r="I14" s="2" t="str">
        <f aca="false">IF(H14&lt;=1,"0-1 days",IF(H14&lt;=5,"2-5 days",IF(H14&lt;=20,"6-20 days","21+ days")))</f>
        <v>0-1 days</v>
      </c>
      <c r="J14" s="2" t="s">
        <v>91</v>
      </c>
      <c r="K14" s="8" t="n">
        <v>49.7292</v>
      </c>
      <c r="L14" s="8" t="n">
        <v>50.2582</v>
      </c>
      <c r="M14" s="8" t="n">
        <v>0.528999999999996</v>
      </c>
      <c r="N14" s="7" t="n">
        <v>0.010637613313707</v>
      </c>
      <c r="O14" s="2" t="s">
        <v>92</v>
      </c>
      <c r="P14" s="2"/>
      <c r="Q14" s="2"/>
      <c r="R14" s="5" t="n">
        <v>17</v>
      </c>
      <c r="S14" s="2" t="s">
        <v>66</v>
      </c>
      <c r="T14" s="7" t="n">
        <v>0.08</v>
      </c>
      <c r="U14" s="7" t="n">
        <f aca="false">IF(OR(T14="",K14="",L14=""),"",T14*ABS(M14)/MAX(K14,L14))</f>
        <v>0.000842051645303646</v>
      </c>
    </row>
    <row r="15" customFormat="false" ht="15" hidden="false" customHeight="false" outlineLevel="0" collapsed="false">
      <c r="A15" s="2" t="s">
        <v>60</v>
      </c>
      <c r="B15" s="2" t="s">
        <v>93</v>
      </c>
      <c r="C15" s="2" t="s">
        <v>94</v>
      </c>
      <c r="D15" s="2" t="s">
        <v>69</v>
      </c>
      <c r="E15" s="10" t="n">
        <v>46261</v>
      </c>
      <c r="F15" s="10" t="n">
        <v>46275</v>
      </c>
      <c r="G15" s="10" t="n">
        <v>46276</v>
      </c>
      <c r="H15" s="5" t="n">
        <v>1</v>
      </c>
      <c r="I15" s="2" t="str">
        <f aca="false">IF(H15&lt;=1,"0-1 days",IF(H15&lt;=5,"2-5 days",IF(H15&lt;=20,"6-20 days","21+ days")))</f>
        <v>0-1 days</v>
      </c>
      <c r="J15" s="2" t="s">
        <v>87</v>
      </c>
      <c r="K15" s="8" t="n">
        <v>69.7592</v>
      </c>
      <c r="L15" s="8" t="n">
        <v>70.2877</v>
      </c>
      <c r="M15" s="8" t="n">
        <v>0.528499999999994</v>
      </c>
      <c r="N15" s="7" t="n">
        <v>0.00757606165208308</v>
      </c>
      <c r="O15" s="2" t="s">
        <v>95</v>
      </c>
      <c r="P15" s="2"/>
      <c r="Q15" s="2"/>
      <c r="R15" s="5" t="n">
        <v>11</v>
      </c>
      <c r="S15" s="2" t="s">
        <v>66</v>
      </c>
      <c r="T15" s="7" t="n">
        <v>0.07</v>
      </c>
      <c r="U15" s="7" t="n">
        <f aca="false">IF(OR(T15="",K15="",L15=""),"",T15*ABS(M15)/MAX(K15,L15))</f>
        <v>0.000526336755933109</v>
      </c>
    </row>
    <row r="16" customFormat="false" ht="15" hidden="false" customHeight="false" outlineLevel="0" collapsed="false">
      <c r="A16" s="2" t="s">
        <v>60</v>
      </c>
      <c r="B16" s="2" t="s">
        <v>96</v>
      </c>
      <c r="C16" s="2" t="s">
        <v>97</v>
      </c>
      <c r="D16" s="2" t="s">
        <v>63</v>
      </c>
      <c r="E16" s="10" t="n">
        <v>46261</v>
      </c>
      <c r="F16" s="10" t="n">
        <v>46275</v>
      </c>
      <c r="G16" s="10" t="n">
        <v>46276</v>
      </c>
      <c r="H16" s="5" t="n">
        <v>1</v>
      </c>
      <c r="I16" s="2" t="str">
        <f aca="false">IF(H16&lt;=1,"0-1 days",IF(H16&lt;=5,"2-5 days",IF(H16&lt;=20,"6-20 days","21+ days")))</f>
        <v>0-1 days</v>
      </c>
      <c r="J16" s="2" t="s">
        <v>87</v>
      </c>
      <c r="K16" s="8" t="n">
        <v>61.3274</v>
      </c>
      <c r="L16" s="8" t="n">
        <v>61.6992</v>
      </c>
      <c r="M16" s="8" t="n">
        <v>0.371800000000008</v>
      </c>
      <c r="N16" s="7" t="n">
        <v>0.00606254300687796</v>
      </c>
      <c r="O16" s="2" t="s">
        <v>98</v>
      </c>
      <c r="P16" s="2"/>
      <c r="Q16" s="2"/>
      <c r="R16" s="5" t="n">
        <v>11</v>
      </c>
      <c r="S16" s="2" t="s">
        <v>66</v>
      </c>
      <c r="T16" s="7" t="n">
        <v>0.08</v>
      </c>
      <c r="U16" s="7" t="n">
        <f aca="false">IF(OR(T16="",K16="",L16=""),"",T16*ABS(M16)/MAX(K16,L16))</f>
        <v>0.000482080804937513</v>
      </c>
    </row>
    <row r="17" customFormat="false" ht="15" hidden="false" customHeight="false" outlineLevel="0" collapsed="false">
      <c r="A17" s="2" t="s">
        <v>60</v>
      </c>
      <c r="B17" s="2" t="s">
        <v>99</v>
      </c>
      <c r="C17" s="2" t="s">
        <v>100</v>
      </c>
      <c r="D17" s="2" t="s">
        <v>101</v>
      </c>
      <c r="E17" s="10" t="n">
        <v>46261</v>
      </c>
      <c r="F17" s="10" t="n">
        <v>46275</v>
      </c>
      <c r="G17" s="10" t="n">
        <v>46276</v>
      </c>
      <c r="H17" s="5" t="n">
        <v>1</v>
      </c>
      <c r="I17" s="2" t="str">
        <f aca="false">IF(H17&lt;=1,"0-1 days",IF(H17&lt;=5,"2-5 days",IF(H17&lt;=20,"6-20 days","21+ days")))</f>
        <v>0-1 days</v>
      </c>
      <c r="J17" s="2" t="s">
        <v>87</v>
      </c>
      <c r="K17" s="8" t="n">
        <v>78.4238</v>
      </c>
      <c r="L17" s="8" t="n">
        <v>78.1444</v>
      </c>
      <c r="M17" s="8" t="n">
        <v>-0.279399999999995</v>
      </c>
      <c r="N17" s="7" t="n">
        <v>-0.00356269397810353</v>
      </c>
      <c r="O17" s="2" t="s">
        <v>102</v>
      </c>
      <c r="P17" s="2"/>
      <c r="Q17" s="2"/>
      <c r="R17" s="5" t="n">
        <v>11</v>
      </c>
      <c r="S17" s="2" t="s">
        <v>66</v>
      </c>
      <c r="T17" s="7" t="n">
        <v>0.06</v>
      </c>
      <c r="U17" s="7" t="n">
        <f aca="false">IF(OR(T17="",K17="",L17=""),"",T17*ABS(M17)/MAX(K17,L17))</f>
        <v>0.000213761638686212</v>
      </c>
    </row>
    <row r="18" customFormat="false" ht="15" hidden="false" customHeight="false" outlineLevel="0" collapsed="false">
      <c r="A18" s="2" t="s">
        <v>60</v>
      </c>
      <c r="B18" s="2" t="s">
        <v>89</v>
      </c>
      <c r="C18" s="2" t="s">
        <v>90</v>
      </c>
      <c r="D18" s="2" t="s">
        <v>74</v>
      </c>
      <c r="E18" s="10" t="n">
        <v>46252</v>
      </c>
      <c r="F18" s="10" t="n">
        <v>46275</v>
      </c>
      <c r="G18" s="10" t="n">
        <v>46276</v>
      </c>
      <c r="H18" s="5" t="n">
        <v>1</v>
      </c>
      <c r="I18" s="2" t="str">
        <f aca="false">IF(H18&lt;=1,"0-1 days",IF(H18&lt;=5,"2-5 days",IF(H18&lt;=20,"6-20 days","21+ days")))</f>
        <v>0-1 days</v>
      </c>
      <c r="J18" s="2" t="s">
        <v>91</v>
      </c>
      <c r="K18" s="8" t="n">
        <v>49.7292</v>
      </c>
      <c r="L18" s="8" t="n">
        <v>49.8419</v>
      </c>
      <c r="M18" s="8" t="n">
        <v>0.112699999999997</v>
      </c>
      <c r="N18" s="7" t="n">
        <v>0.00226627414074622</v>
      </c>
      <c r="O18" s="2" t="s">
        <v>103</v>
      </c>
      <c r="P18" s="2"/>
      <c r="Q18" s="2"/>
      <c r="R18" s="5" t="n">
        <v>18</v>
      </c>
      <c r="S18" s="2" t="s">
        <v>66</v>
      </c>
      <c r="T18" s="7" t="n">
        <v>0.08</v>
      </c>
      <c r="U18" s="7" t="n">
        <f aca="false">IF(OR(T18="",K18="",L18=""),"",T18*ABS(M18)/MAX(K18,L18))</f>
        <v>0.000180891980442153</v>
      </c>
    </row>
    <row r="19" customFormat="false" ht="15" hidden="false" customHeight="false" outlineLevel="0" collapsed="false">
      <c r="A19" s="2" t="s">
        <v>60</v>
      </c>
      <c r="B19" s="2" t="s">
        <v>89</v>
      </c>
      <c r="C19" s="2" t="s">
        <v>90</v>
      </c>
      <c r="D19" s="2" t="s">
        <v>74</v>
      </c>
      <c r="E19" s="10" t="n">
        <v>46248</v>
      </c>
      <c r="F19" s="10" t="n">
        <v>46275</v>
      </c>
      <c r="G19" s="10" t="n">
        <v>46276</v>
      </c>
      <c r="H19" s="5" t="n">
        <v>1</v>
      </c>
      <c r="I19" s="2" t="str">
        <f aca="false">IF(H19&lt;=1,"0-1 days",IF(H19&lt;=5,"2-5 days",IF(H19&lt;=20,"6-20 days","21+ days")))</f>
        <v>0-1 days</v>
      </c>
      <c r="J19" s="2" t="s">
        <v>87</v>
      </c>
      <c r="K19" s="8" t="n">
        <v>49.7292</v>
      </c>
      <c r="L19" s="8" t="n">
        <v>49.8211</v>
      </c>
      <c r="M19" s="8" t="n">
        <v>0.0919000000000025</v>
      </c>
      <c r="N19" s="7" t="n">
        <v>0.00184800881574613</v>
      </c>
      <c r="O19" s="2" t="s">
        <v>104</v>
      </c>
      <c r="P19" s="2"/>
      <c r="Q19" s="2"/>
      <c r="R19" s="5" t="n">
        <v>20</v>
      </c>
      <c r="S19" s="2" t="s">
        <v>66</v>
      </c>
      <c r="T19" s="7" t="n">
        <v>0.08</v>
      </c>
      <c r="U19" s="7" t="n">
        <f aca="false">IF(OR(T19="",K19="",L19=""),"",T19*ABS(M19)/MAX(K19,L19))</f>
        <v>0.000147567998297914</v>
      </c>
    </row>
    <row r="20" customFormat="false" ht="15" hidden="false" customHeight="false" outlineLevel="0" collapsed="false">
      <c r="A20" s="2" t="s">
        <v>60</v>
      </c>
      <c r="B20" s="2" t="s">
        <v>89</v>
      </c>
      <c r="C20" s="2" t="s">
        <v>90</v>
      </c>
      <c r="D20" s="2" t="s">
        <v>74</v>
      </c>
      <c r="E20" s="10" t="n">
        <v>46247</v>
      </c>
      <c r="F20" s="10" t="n">
        <v>46275</v>
      </c>
      <c r="G20" s="10" t="n">
        <v>46276</v>
      </c>
      <c r="H20" s="5" t="n">
        <v>1</v>
      </c>
      <c r="I20" s="2" t="str">
        <f aca="false">IF(H20&lt;=1,"0-1 days",IF(H20&lt;=5,"2-5 days",IF(H20&lt;=20,"6-20 days","21+ days")))</f>
        <v>0-1 days</v>
      </c>
      <c r="J20" s="2" t="s">
        <v>87</v>
      </c>
      <c r="K20" s="8" t="n">
        <v>49.7292</v>
      </c>
      <c r="L20" s="8" t="n">
        <v>49.6712</v>
      </c>
      <c r="M20" s="8" t="n">
        <v>-0.0579999999999998</v>
      </c>
      <c r="N20" s="7" t="n">
        <v>-0.00116631677163517</v>
      </c>
      <c r="O20" s="2" t="s">
        <v>105</v>
      </c>
      <c r="P20" s="2"/>
      <c r="Q20" s="2"/>
      <c r="R20" s="5" t="n">
        <v>21</v>
      </c>
      <c r="S20" s="2" t="s">
        <v>66</v>
      </c>
      <c r="T20" s="7" t="n">
        <v>0.08</v>
      </c>
      <c r="U20" s="7" t="n">
        <f aca="false">IF(OR(T20="",K20="",L20=""),"",T20*ABS(M20)/MAX(K20,L20))</f>
        <v>9.33053417308138E-005</v>
      </c>
    </row>
  </sheetData>
  <autoFilter ref="A1:U20"/>
  <conditionalFormatting sqref="A2:U5000">
    <cfRule type="expression" priority="2" aboveAverage="0" equalAverage="0" bottom="0" percent="0" rank="0" text="" dxfId="5">
      <formula>$J2="SCALE"</formula>
    </cfRule>
    <cfRule type="expression" priority="3" aboveAverage="0" equalAverage="0" bottom="0" percent="0" rank="0" text="" dxfId="5">
      <formula>$J2="UNIT"</formula>
    </cfRule>
    <cfRule type="expression" priority="4" aboveAverage="0" equalAverage="0" bottom="0" percent="0" rank="0" text="" dxfId="6">
      <formula>$I2="21+ days"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60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43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106</v>
      </c>
    </row>
    <row r="2" customFormat="false" ht="15" hidden="false" customHeight="false" outlineLevel="0" collapsed="false">
      <c r="A2" s="2" t="s">
        <v>60</v>
      </c>
      <c r="B2" s="2" t="s">
        <v>85</v>
      </c>
      <c r="C2" s="2" t="s">
        <v>86</v>
      </c>
      <c r="D2" s="10" t="n">
        <v>46266</v>
      </c>
      <c r="E2" s="2" t="s">
        <v>87</v>
      </c>
      <c r="F2" s="8" t="n">
        <v>20.6397</v>
      </c>
      <c r="G2" s="8" t="n">
        <v>20.235</v>
      </c>
      <c r="H2" s="8" t="n">
        <v>-0.404699999999998</v>
      </c>
      <c r="I2" s="7" t="n">
        <v>-0.0196078431372548</v>
      </c>
      <c r="J2" s="2" t="s">
        <v>88</v>
      </c>
      <c r="K2" s="2" t="s">
        <v>107</v>
      </c>
    </row>
    <row r="3" customFormat="false" ht="15" hidden="false" customHeight="false" outlineLevel="0" collapsed="false">
      <c r="A3" s="2" t="s">
        <v>60</v>
      </c>
      <c r="B3" s="2" t="s">
        <v>72</v>
      </c>
      <c r="C3" s="2" t="s">
        <v>73</v>
      </c>
      <c r="D3" s="10" t="n">
        <v>46276</v>
      </c>
      <c r="E3" s="2" t="s">
        <v>75</v>
      </c>
      <c r="F3" s="8" t="n">
        <v>78.8494</v>
      </c>
      <c r="G3" s="8" t="n">
        <v>0.492809</v>
      </c>
      <c r="H3" s="8" t="n">
        <v>-78.356591</v>
      </c>
      <c r="I3" s="7" t="n">
        <v>-0.993749996829399</v>
      </c>
      <c r="J3" s="2" t="s">
        <v>81</v>
      </c>
      <c r="K3" s="2" t="s">
        <v>107</v>
      </c>
    </row>
  </sheetData>
  <autoFilter ref="A1:K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7" min="4" style="0" width="12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60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43</v>
      </c>
      <c r="E1" s="9" t="s">
        <v>44</v>
      </c>
      <c r="F1" s="9" t="s">
        <v>108</v>
      </c>
      <c r="G1" s="9" t="s">
        <v>109</v>
      </c>
      <c r="H1" s="9" t="s">
        <v>110</v>
      </c>
      <c r="I1" s="9" t="s">
        <v>46</v>
      </c>
      <c r="J1" s="9" t="s">
        <v>106</v>
      </c>
      <c r="K1" s="9" t="s">
        <v>111</v>
      </c>
      <c r="L1" s="9" t="s">
        <v>54</v>
      </c>
      <c r="M1" s="9" t="s">
        <v>55</v>
      </c>
    </row>
    <row r="2" customFormat="false" ht="15" hidden="false" customHeight="false" outlineLevel="0" collapsed="false">
      <c r="A2" s="2" t="s">
        <v>60</v>
      </c>
      <c r="B2" s="2" t="s">
        <v>112</v>
      </c>
      <c r="C2" s="2" t="s">
        <v>113</v>
      </c>
      <c r="D2" s="10" t="n">
        <v>46275</v>
      </c>
      <c r="E2" s="10" t="n">
        <v>46275</v>
      </c>
      <c r="F2" s="10" t="n">
        <v>46276</v>
      </c>
      <c r="G2" s="5" t="n">
        <v>1</v>
      </c>
      <c r="H2" s="2" t="s">
        <v>114</v>
      </c>
      <c r="I2" s="5" t="n">
        <v>1</v>
      </c>
      <c r="J2" s="2" t="s">
        <v>115</v>
      </c>
      <c r="K2" s="2" t="s">
        <v>116</v>
      </c>
      <c r="L2" s="2"/>
      <c r="M2" s="2"/>
    </row>
    <row r="3" customFormat="false" ht="15" hidden="false" customHeight="false" outlineLevel="0" collapsed="false">
      <c r="A3" s="2" t="s">
        <v>60</v>
      </c>
      <c r="B3" s="2" t="s">
        <v>85</v>
      </c>
      <c r="C3" s="2" t="s">
        <v>86</v>
      </c>
      <c r="D3" s="10" t="n">
        <v>46275</v>
      </c>
      <c r="E3" s="10" t="n">
        <v>46275</v>
      </c>
      <c r="F3" s="10" t="n">
        <v>46276</v>
      </c>
      <c r="G3" s="5" t="n">
        <v>1</v>
      </c>
      <c r="H3" s="2" t="s">
        <v>114</v>
      </c>
      <c r="I3" s="5" t="n">
        <v>1</v>
      </c>
      <c r="J3" s="2" t="s">
        <v>115</v>
      </c>
      <c r="K3" s="2" t="s">
        <v>116</v>
      </c>
      <c r="L3" s="2"/>
      <c r="M3" s="2"/>
    </row>
    <row r="4" customFormat="false" ht="15" hidden="false" customHeight="false" outlineLevel="0" collapsed="false">
      <c r="A4" s="2" t="s">
        <v>60</v>
      </c>
      <c r="B4" s="2" t="s">
        <v>67</v>
      </c>
      <c r="C4" s="2" t="s">
        <v>68</v>
      </c>
      <c r="D4" s="10" t="n">
        <v>46275</v>
      </c>
      <c r="E4" s="10" t="n">
        <v>46275</v>
      </c>
      <c r="F4" s="10" t="n">
        <v>46276</v>
      </c>
      <c r="G4" s="5" t="n">
        <v>1</v>
      </c>
      <c r="H4" s="2" t="s">
        <v>114</v>
      </c>
      <c r="I4" s="5" t="n">
        <v>1</v>
      </c>
      <c r="J4" s="2" t="s">
        <v>115</v>
      </c>
      <c r="K4" s="2" t="s">
        <v>116</v>
      </c>
      <c r="L4" s="2"/>
      <c r="M4" s="2"/>
    </row>
    <row r="5" customFormat="false" ht="15" hidden="false" customHeight="false" outlineLevel="0" collapsed="false">
      <c r="A5" s="2" t="s">
        <v>60</v>
      </c>
      <c r="B5" s="2" t="s">
        <v>117</v>
      </c>
      <c r="C5" s="2" t="s">
        <v>118</v>
      </c>
      <c r="D5" s="10" t="n">
        <v>46275</v>
      </c>
      <c r="E5" s="10" t="n">
        <v>46275</v>
      </c>
      <c r="F5" s="10" t="n">
        <v>46276</v>
      </c>
      <c r="G5" s="5" t="n">
        <v>1</v>
      </c>
      <c r="H5" s="2" t="s">
        <v>114</v>
      </c>
      <c r="I5" s="5" t="n">
        <v>1</v>
      </c>
      <c r="J5" s="2" t="s">
        <v>115</v>
      </c>
      <c r="K5" s="2" t="s">
        <v>116</v>
      </c>
      <c r="L5" s="2"/>
      <c r="M5" s="2"/>
    </row>
    <row r="6" customFormat="false" ht="15" hidden="false" customHeight="false" outlineLevel="0" collapsed="false">
      <c r="A6" s="2" t="s">
        <v>60</v>
      </c>
      <c r="B6" s="2" t="s">
        <v>89</v>
      </c>
      <c r="C6" s="2" t="s">
        <v>90</v>
      </c>
      <c r="D6" s="10" t="n">
        <v>46275</v>
      </c>
      <c r="E6" s="10" t="n">
        <v>46275</v>
      </c>
      <c r="F6" s="10" t="n">
        <v>46276</v>
      </c>
      <c r="G6" s="5" t="n">
        <v>1</v>
      </c>
      <c r="H6" s="2" t="s">
        <v>114</v>
      </c>
      <c r="I6" s="5" t="n">
        <v>1</v>
      </c>
      <c r="J6" s="2" t="s">
        <v>115</v>
      </c>
      <c r="K6" s="2" t="s">
        <v>116</v>
      </c>
      <c r="L6" s="2"/>
      <c r="M6" s="2"/>
    </row>
    <row r="7" customFormat="false" ht="15" hidden="false" customHeight="false" outlineLevel="0" collapsed="false">
      <c r="A7" s="2" t="s">
        <v>60</v>
      </c>
      <c r="B7" s="2" t="s">
        <v>96</v>
      </c>
      <c r="C7" s="2" t="s">
        <v>97</v>
      </c>
      <c r="D7" s="10" t="n">
        <v>46275</v>
      </c>
      <c r="E7" s="10" t="n">
        <v>46275</v>
      </c>
      <c r="F7" s="10" t="n">
        <v>46276</v>
      </c>
      <c r="G7" s="5" t="n">
        <v>1</v>
      </c>
      <c r="H7" s="2" t="s">
        <v>114</v>
      </c>
      <c r="I7" s="5" t="n">
        <v>1</v>
      </c>
      <c r="J7" s="2" t="s">
        <v>115</v>
      </c>
      <c r="K7" s="2" t="s">
        <v>116</v>
      </c>
      <c r="L7" s="2"/>
      <c r="M7" s="2"/>
    </row>
    <row r="8" customFormat="false" ht="15" hidden="false" customHeight="false" outlineLevel="0" collapsed="false">
      <c r="A8" s="2" t="s">
        <v>60</v>
      </c>
      <c r="B8" s="2" t="s">
        <v>93</v>
      </c>
      <c r="C8" s="2" t="s">
        <v>94</v>
      </c>
      <c r="D8" s="10" t="n">
        <v>46275</v>
      </c>
      <c r="E8" s="10" t="n">
        <v>46275</v>
      </c>
      <c r="F8" s="10" t="n">
        <v>46276</v>
      </c>
      <c r="G8" s="5" t="n">
        <v>1</v>
      </c>
      <c r="H8" s="2" t="s">
        <v>114</v>
      </c>
      <c r="I8" s="5" t="n">
        <v>1</v>
      </c>
      <c r="J8" s="2" t="s">
        <v>115</v>
      </c>
      <c r="K8" s="2" t="s">
        <v>116</v>
      </c>
      <c r="L8" s="2"/>
      <c r="M8" s="2"/>
    </row>
    <row r="9" customFormat="false" ht="15" hidden="false" customHeight="false" outlineLevel="0" collapsed="false">
      <c r="A9" s="2" t="s">
        <v>60</v>
      </c>
      <c r="B9" s="2" t="s">
        <v>99</v>
      </c>
      <c r="C9" s="2" t="s">
        <v>100</v>
      </c>
      <c r="D9" s="10" t="n">
        <v>46275</v>
      </c>
      <c r="E9" s="10" t="n">
        <v>46275</v>
      </c>
      <c r="F9" s="10" t="n">
        <v>46276</v>
      </c>
      <c r="G9" s="5" t="n">
        <v>1</v>
      </c>
      <c r="H9" s="2" t="s">
        <v>114</v>
      </c>
      <c r="I9" s="5" t="n">
        <v>1</v>
      </c>
      <c r="J9" s="2" t="s">
        <v>115</v>
      </c>
      <c r="K9" s="2" t="s">
        <v>116</v>
      </c>
      <c r="L9" s="2"/>
      <c r="M9" s="2"/>
    </row>
    <row r="10" customFormat="false" ht="15" hidden="false" customHeight="false" outlineLevel="0" collapsed="false">
      <c r="A10" s="2" t="s">
        <v>60</v>
      </c>
      <c r="B10" s="2" t="s">
        <v>61</v>
      </c>
      <c r="C10" s="2" t="s">
        <v>62</v>
      </c>
      <c r="D10" s="10" t="n">
        <v>46275</v>
      </c>
      <c r="E10" s="10" t="n">
        <v>46275</v>
      </c>
      <c r="F10" s="10" t="n">
        <v>46276</v>
      </c>
      <c r="G10" s="5" t="n">
        <v>1</v>
      </c>
      <c r="H10" s="2" t="s">
        <v>114</v>
      </c>
      <c r="I10" s="5" t="n">
        <v>1</v>
      </c>
      <c r="J10" s="2" t="s">
        <v>115</v>
      </c>
      <c r="K10" s="2" t="s">
        <v>116</v>
      </c>
      <c r="L10" s="2"/>
      <c r="M10" s="2"/>
    </row>
    <row r="11" customFormat="false" ht="15" hidden="false" customHeight="false" outlineLevel="0" collapsed="false">
      <c r="A11" s="2" t="s">
        <v>60</v>
      </c>
      <c r="B11" s="2" t="s">
        <v>119</v>
      </c>
      <c r="C11" s="2" t="s">
        <v>120</v>
      </c>
      <c r="D11" s="10" t="n">
        <v>46275</v>
      </c>
      <c r="E11" s="10" t="n">
        <v>46275</v>
      </c>
      <c r="F11" s="10" t="n">
        <v>46276</v>
      </c>
      <c r="G11" s="5" t="n">
        <v>1</v>
      </c>
      <c r="H11" s="2" t="s">
        <v>114</v>
      </c>
      <c r="I11" s="5" t="n">
        <v>1</v>
      </c>
      <c r="J11" s="2" t="s">
        <v>115</v>
      </c>
      <c r="K11" s="2" t="s">
        <v>116</v>
      </c>
      <c r="L11" s="2"/>
      <c r="M11" s="2"/>
    </row>
    <row r="12" customFormat="false" ht="15" hidden="false" customHeight="false" outlineLevel="0" collapsed="false">
      <c r="A12" s="2" t="s">
        <v>60</v>
      </c>
      <c r="B12" s="2" t="s">
        <v>121</v>
      </c>
      <c r="C12" s="2" t="s">
        <v>122</v>
      </c>
      <c r="D12" s="10" t="n">
        <v>46275</v>
      </c>
      <c r="E12" s="10" t="n">
        <v>46275</v>
      </c>
      <c r="F12" s="10" t="n">
        <v>46276</v>
      </c>
      <c r="G12" s="5" t="n">
        <v>1</v>
      </c>
      <c r="H12" s="2" t="s">
        <v>114</v>
      </c>
      <c r="I12" s="5" t="n">
        <v>1</v>
      </c>
      <c r="J12" s="2" t="s">
        <v>115</v>
      </c>
      <c r="K12" s="2" t="s">
        <v>116</v>
      </c>
      <c r="L12" s="2"/>
      <c r="M12" s="2"/>
    </row>
  </sheetData>
  <autoFilter ref="A1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60"/>
  </cols>
  <sheetData>
    <row r="1" customFormat="false" ht="30" hidden="false" customHeight="true" outlineLevel="0" collapsed="false">
      <c r="A1" s="9" t="s">
        <v>40</v>
      </c>
      <c r="B1" s="9" t="s">
        <v>43</v>
      </c>
      <c r="C1" s="9" t="s">
        <v>48</v>
      </c>
      <c r="D1" s="9" t="s">
        <v>123</v>
      </c>
      <c r="E1" s="9" t="s">
        <v>124</v>
      </c>
      <c r="F1" s="9" t="s">
        <v>51</v>
      </c>
      <c r="G1" s="9" t="s">
        <v>53</v>
      </c>
    </row>
    <row r="2" customFormat="false" ht="15" hidden="false" customHeight="false" outlineLevel="0" collapsed="false">
      <c r="A2" s="2" t="s">
        <v>85</v>
      </c>
      <c r="B2" s="10" t="n">
        <v>46266</v>
      </c>
      <c r="C2" s="2" t="s">
        <v>87</v>
      </c>
      <c r="D2" s="8" t="n">
        <v>20.235</v>
      </c>
      <c r="E2" s="8" t="n">
        <v>20.6397</v>
      </c>
      <c r="F2" s="8" t="n">
        <v>0.404699999999998</v>
      </c>
      <c r="G2" s="2" t="s">
        <v>125</v>
      </c>
    </row>
    <row r="3" customFormat="false" ht="15" hidden="false" customHeight="false" outlineLevel="0" collapsed="false">
      <c r="A3" s="2" t="s">
        <v>112</v>
      </c>
      <c r="B3" s="10" t="n">
        <v>46275</v>
      </c>
      <c r="C3" s="2" t="s">
        <v>114</v>
      </c>
      <c r="D3" s="8"/>
      <c r="E3" s="8" t="n">
        <v>8.5413</v>
      </c>
      <c r="F3" s="8"/>
      <c r="G3" s="2" t="s">
        <v>116</v>
      </c>
    </row>
    <row r="4" customFormat="false" ht="15" hidden="false" customHeight="false" outlineLevel="0" collapsed="false">
      <c r="A4" s="2" t="s">
        <v>85</v>
      </c>
      <c r="B4" s="10" t="n">
        <v>46275</v>
      </c>
      <c r="C4" s="2" t="s">
        <v>114</v>
      </c>
      <c r="D4" s="8"/>
      <c r="E4" s="8" t="n">
        <v>18.4138</v>
      </c>
      <c r="F4" s="8"/>
      <c r="G4" s="2" t="s">
        <v>116</v>
      </c>
    </row>
    <row r="5" customFormat="false" ht="15" hidden="false" customHeight="false" outlineLevel="0" collapsed="false">
      <c r="A5" s="2" t="s">
        <v>67</v>
      </c>
      <c r="B5" s="10" t="n">
        <v>46275</v>
      </c>
      <c r="C5" s="2" t="s">
        <v>114</v>
      </c>
      <c r="D5" s="8"/>
      <c r="E5" s="8" t="n">
        <v>28.1282</v>
      </c>
      <c r="F5" s="8"/>
      <c r="G5" s="2" t="s">
        <v>116</v>
      </c>
    </row>
    <row r="6" customFormat="false" ht="15" hidden="false" customHeight="false" outlineLevel="0" collapsed="false">
      <c r="A6" s="2" t="s">
        <v>117</v>
      </c>
      <c r="B6" s="10" t="n">
        <v>46275</v>
      </c>
      <c r="C6" s="2" t="s">
        <v>114</v>
      </c>
      <c r="D6" s="8"/>
      <c r="E6" s="8" t="n">
        <v>48.4189</v>
      </c>
      <c r="F6" s="8"/>
      <c r="G6" s="2" t="s">
        <v>116</v>
      </c>
    </row>
    <row r="7" customFormat="false" ht="15" hidden="false" customHeight="false" outlineLevel="0" collapsed="false">
      <c r="A7" s="2" t="s">
        <v>89</v>
      </c>
      <c r="B7" s="10" t="n">
        <v>46275</v>
      </c>
      <c r="C7" s="2" t="s">
        <v>114</v>
      </c>
      <c r="D7" s="8"/>
      <c r="E7" s="8" t="n">
        <v>44.3919</v>
      </c>
      <c r="F7" s="8"/>
      <c r="G7" s="2" t="s">
        <v>116</v>
      </c>
    </row>
    <row r="8" customFormat="false" ht="15" hidden="false" customHeight="false" outlineLevel="0" collapsed="false">
      <c r="A8" s="2" t="s">
        <v>96</v>
      </c>
      <c r="B8" s="10" t="n">
        <v>46275</v>
      </c>
      <c r="C8" s="2" t="s">
        <v>114</v>
      </c>
      <c r="D8" s="8"/>
      <c r="E8" s="8" t="n">
        <v>55.7312</v>
      </c>
      <c r="F8" s="8"/>
      <c r="G8" s="2" t="s">
        <v>116</v>
      </c>
    </row>
    <row r="9" customFormat="false" ht="15" hidden="false" customHeight="false" outlineLevel="0" collapsed="false">
      <c r="A9" s="2" t="s">
        <v>93</v>
      </c>
      <c r="B9" s="10" t="n">
        <v>46275</v>
      </c>
      <c r="C9" s="2" t="s">
        <v>114</v>
      </c>
      <c r="D9" s="8"/>
      <c r="E9" s="8" t="n">
        <v>62.2266</v>
      </c>
      <c r="F9" s="8"/>
      <c r="G9" s="2" t="s">
        <v>116</v>
      </c>
    </row>
    <row r="10" customFormat="false" ht="15" hidden="false" customHeight="false" outlineLevel="0" collapsed="false">
      <c r="A10" s="2" t="s">
        <v>99</v>
      </c>
      <c r="B10" s="10" t="n">
        <v>46275</v>
      </c>
      <c r="C10" s="2" t="s">
        <v>114</v>
      </c>
      <c r="D10" s="8"/>
      <c r="E10" s="8" t="n">
        <v>69.0828</v>
      </c>
      <c r="F10" s="8"/>
      <c r="G10" s="2" t="s">
        <v>116</v>
      </c>
    </row>
    <row r="11" customFormat="false" ht="15" hidden="false" customHeight="false" outlineLevel="0" collapsed="false">
      <c r="A11" s="2" t="s">
        <v>72</v>
      </c>
      <c r="B11" s="10" t="n">
        <v>46275</v>
      </c>
      <c r="C11" s="2" t="s">
        <v>114</v>
      </c>
      <c r="D11" s="8"/>
      <c r="E11" s="8" t="n">
        <v>79.2484</v>
      </c>
      <c r="F11" s="8"/>
      <c r="G11" s="2" t="s">
        <v>116</v>
      </c>
    </row>
    <row r="12" customFormat="false" ht="15" hidden="false" customHeight="false" outlineLevel="0" collapsed="false">
      <c r="A12" s="2" t="s">
        <v>61</v>
      </c>
      <c r="B12" s="10" t="n">
        <v>46275</v>
      </c>
      <c r="C12" s="2" t="s">
        <v>114</v>
      </c>
      <c r="D12" s="8"/>
      <c r="E12" s="8" t="n">
        <v>96.3414</v>
      </c>
      <c r="F12" s="8"/>
      <c r="G12" s="2" t="s">
        <v>116</v>
      </c>
    </row>
    <row r="13" customFormat="false" ht="15" hidden="false" customHeight="false" outlineLevel="0" collapsed="false">
      <c r="A13" s="2" t="s">
        <v>119</v>
      </c>
      <c r="B13" s="10" t="n">
        <v>46275</v>
      </c>
      <c r="C13" s="2" t="s">
        <v>114</v>
      </c>
      <c r="D13" s="8"/>
      <c r="E13" s="8" t="n">
        <v>1005.9954</v>
      </c>
      <c r="F13" s="8"/>
      <c r="G13" s="2" t="s">
        <v>116</v>
      </c>
    </row>
    <row r="14" customFormat="false" ht="15" hidden="false" customHeight="false" outlineLevel="0" collapsed="false">
      <c r="A14" s="2" t="s">
        <v>121</v>
      </c>
      <c r="B14" s="10" t="n">
        <v>46275</v>
      </c>
      <c r="C14" s="2" t="s">
        <v>114</v>
      </c>
      <c r="D14" s="8"/>
      <c r="E14" s="8" t="n">
        <v>106.2101</v>
      </c>
      <c r="F14" s="8"/>
      <c r="G14" s="2" t="s">
        <v>116</v>
      </c>
    </row>
  </sheetData>
  <autoFilter ref="A1:G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0"/>
  </cols>
  <sheetData>
    <row r="1" customFormat="false" ht="30" hidden="false" customHeight="true" outlineLevel="0" collapsed="false">
      <c r="A1" s="9" t="s">
        <v>126</v>
      </c>
      <c r="B1" s="9" t="s">
        <v>40</v>
      </c>
      <c r="C1" s="9" t="s">
        <v>127</v>
      </c>
      <c r="D1" s="9" t="s">
        <v>128</v>
      </c>
      <c r="E1" s="9" t="s">
        <v>129</v>
      </c>
    </row>
    <row r="2" customFormat="false" ht="15" hidden="false" customHeight="false" outlineLevel="0" collapsed="false">
      <c r="A2" s="2" t="s">
        <v>130</v>
      </c>
      <c r="B2" s="2" t="s">
        <v>67</v>
      </c>
      <c r="C2" s="10" t="n">
        <v>46254</v>
      </c>
      <c r="D2" s="2" t="s">
        <v>131</v>
      </c>
      <c r="E2" s="2" t="s">
        <v>132</v>
      </c>
    </row>
    <row r="3" customFormat="false" ht="15" hidden="false" customHeight="false" outlineLevel="0" collapsed="false">
      <c r="A3" s="2" t="s">
        <v>133</v>
      </c>
      <c r="B3" s="2" t="s">
        <v>121</v>
      </c>
      <c r="C3" s="10" t="n">
        <v>46265</v>
      </c>
      <c r="D3" s="2" t="s">
        <v>134</v>
      </c>
      <c r="E3" s="2" t="s">
        <v>132</v>
      </c>
    </row>
    <row r="4" customFormat="false" ht="15" hidden="false" customHeight="false" outlineLevel="0" collapsed="false">
      <c r="A4" s="2" t="s">
        <v>135</v>
      </c>
      <c r="B4" s="2" t="s">
        <v>89</v>
      </c>
      <c r="C4" s="10" t="n">
        <v>46253</v>
      </c>
      <c r="D4" s="2" t="s">
        <v>136</v>
      </c>
      <c r="E4" s="2" t="s">
        <v>132</v>
      </c>
    </row>
    <row r="5" customFormat="false" ht="15" hidden="false" customHeight="false" outlineLevel="0" collapsed="false">
      <c r="A5" s="2" t="s">
        <v>133</v>
      </c>
      <c r="B5" s="2" t="s">
        <v>121</v>
      </c>
      <c r="C5" s="10" t="n">
        <v>46265</v>
      </c>
      <c r="D5" s="2" t="s">
        <v>134</v>
      </c>
      <c r="E5" s="2" t="s">
        <v>137</v>
      </c>
    </row>
    <row r="6" customFormat="false" ht="15" hidden="false" customHeight="false" outlineLevel="0" collapsed="false">
      <c r="A6" s="2" t="s">
        <v>138</v>
      </c>
      <c r="B6" s="2" t="s">
        <v>139</v>
      </c>
      <c r="C6" s="10" t="n">
        <v>46244</v>
      </c>
      <c r="D6" s="2" t="s">
        <v>140</v>
      </c>
      <c r="E6" s="2" t="s">
        <v>137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10" min="5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70"/>
  </cols>
  <sheetData>
    <row r="1" customFormat="false" ht="30" hidden="false" customHeight="true" outlineLevel="0" collapsed="false">
      <c r="A1" s="9" t="s">
        <v>40</v>
      </c>
      <c r="B1" s="9" t="s">
        <v>48</v>
      </c>
      <c r="C1" s="9" t="s">
        <v>141</v>
      </c>
      <c r="D1" s="9" t="s">
        <v>142</v>
      </c>
      <c r="E1" s="9" t="s">
        <v>143</v>
      </c>
      <c r="F1" s="9" t="s">
        <v>144</v>
      </c>
      <c r="G1" s="9" t="s">
        <v>145</v>
      </c>
      <c r="H1" s="9" t="s">
        <v>146</v>
      </c>
      <c r="I1" s="9" t="s">
        <v>147</v>
      </c>
      <c r="J1" s="9" t="s">
        <v>148</v>
      </c>
      <c r="K1" s="9" t="s">
        <v>149</v>
      </c>
      <c r="L1" s="9" t="s">
        <v>51</v>
      </c>
      <c r="M1" s="9" t="s">
        <v>53</v>
      </c>
    </row>
    <row r="2" customFormat="false" ht="15" hidden="false" customHeight="false" outlineLevel="0" collapsed="false">
      <c r="A2" s="11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90"/>
  </cols>
  <sheetData>
    <row r="1" customFormat="false" ht="30" hidden="false" customHeight="true" outlineLevel="0" collapsed="false">
      <c r="A1" s="9" t="s">
        <v>40</v>
      </c>
      <c r="B1" s="9" t="s">
        <v>41</v>
      </c>
      <c r="C1" s="9" t="s">
        <v>151</v>
      </c>
      <c r="D1" s="9" t="s">
        <v>129</v>
      </c>
      <c r="E1" s="9" t="s">
        <v>48</v>
      </c>
      <c r="F1" s="9" t="s">
        <v>152</v>
      </c>
      <c r="H1" s="12" t="s">
        <v>153</v>
      </c>
    </row>
    <row r="2" customFormat="false" ht="15" hidden="false" customHeight="false" outlineLevel="0" collapsed="false">
      <c r="A2" s="2" t="s">
        <v>72</v>
      </c>
      <c r="B2" s="2" t="s">
        <v>73</v>
      </c>
      <c r="C2" s="8" t="n">
        <v>78.8494</v>
      </c>
      <c r="D2" s="2" t="s">
        <v>132</v>
      </c>
      <c r="E2" s="2" t="s">
        <v>154</v>
      </c>
      <c r="F2" s="2" t="s">
        <v>155</v>
      </c>
    </row>
    <row r="3" customFormat="false" ht="15" hidden="false" customHeight="false" outlineLevel="0" collapsed="false">
      <c r="A3" s="2" t="s">
        <v>112</v>
      </c>
      <c r="B3" s="2" t="s">
        <v>113</v>
      </c>
      <c r="C3" s="8" t="n">
        <v>8.4601</v>
      </c>
      <c r="D3" s="2" t="s">
        <v>132</v>
      </c>
      <c r="E3" s="2" t="s">
        <v>156</v>
      </c>
      <c r="F3" s="2" t="s">
        <v>157</v>
      </c>
    </row>
    <row r="4" customFormat="false" ht="15" hidden="false" customHeight="false" outlineLevel="0" collapsed="false">
      <c r="A4" s="2" t="s">
        <v>85</v>
      </c>
      <c r="B4" s="2" t="s">
        <v>86</v>
      </c>
      <c r="C4" s="8" t="n">
        <v>18.413</v>
      </c>
      <c r="D4" s="2" t="s">
        <v>132</v>
      </c>
      <c r="E4" s="2" t="s">
        <v>156</v>
      </c>
      <c r="F4" s="2" t="s">
        <v>157</v>
      </c>
    </row>
    <row r="5" customFormat="false" ht="15" hidden="false" customHeight="false" outlineLevel="0" collapsed="false">
      <c r="A5" s="2" t="s">
        <v>67</v>
      </c>
      <c r="B5" s="2" t="s">
        <v>68</v>
      </c>
      <c r="C5" s="8" t="n">
        <v>27.8788</v>
      </c>
      <c r="D5" s="2" t="s">
        <v>132</v>
      </c>
      <c r="E5" s="2" t="s">
        <v>156</v>
      </c>
      <c r="F5" s="2" t="s">
        <v>157</v>
      </c>
    </row>
    <row r="6" customFormat="false" ht="15" hidden="false" customHeight="false" outlineLevel="0" collapsed="false">
      <c r="A6" s="2" t="s">
        <v>117</v>
      </c>
      <c r="B6" s="2" t="s">
        <v>118</v>
      </c>
      <c r="C6" s="8" t="n">
        <v>48.253</v>
      </c>
      <c r="D6" s="2" t="s">
        <v>132</v>
      </c>
      <c r="E6" s="2" t="s">
        <v>156</v>
      </c>
      <c r="F6" s="2" t="s">
        <v>157</v>
      </c>
    </row>
    <row r="7" customFormat="false" ht="15" hidden="false" customHeight="false" outlineLevel="0" collapsed="false">
      <c r="A7" s="2" t="s">
        <v>89</v>
      </c>
      <c r="B7" s="2" t="s">
        <v>90</v>
      </c>
      <c r="C7" s="8" t="n">
        <v>44.6065</v>
      </c>
      <c r="D7" s="2" t="s">
        <v>132</v>
      </c>
      <c r="E7" s="2" t="s">
        <v>156</v>
      </c>
      <c r="F7" s="2" t="s">
        <v>157</v>
      </c>
    </row>
    <row r="8" customFormat="false" ht="15" hidden="false" customHeight="false" outlineLevel="0" collapsed="false">
      <c r="A8" s="2" t="s">
        <v>96</v>
      </c>
      <c r="B8" s="2" t="s">
        <v>97</v>
      </c>
      <c r="C8" s="8" t="n">
        <v>55.5231</v>
      </c>
      <c r="D8" s="2" t="s">
        <v>132</v>
      </c>
      <c r="E8" s="2" t="s">
        <v>156</v>
      </c>
      <c r="F8" s="2" t="s">
        <v>157</v>
      </c>
    </row>
    <row r="9" customFormat="false" ht="15" hidden="false" customHeight="false" outlineLevel="0" collapsed="false">
      <c r="A9" s="2" t="s">
        <v>93</v>
      </c>
      <c r="B9" s="2" t="s">
        <v>94</v>
      </c>
      <c r="C9" s="8" t="n">
        <v>62.2997</v>
      </c>
      <c r="D9" s="2" t="s">
        <v>132</v>
      </c>
      <c r="E9" s="2" t="s">
        <v>156</v>
      </c>
      <c r="F9" s="2" t="s">
        <v>157</v>
      </c>
    </row>
    <row r="10" customFormat="false" ht="15" hidden="false" customHeight="false" outlineLevel="0" collapsed="false">
      <c r="A10" s="2" t="s">
        <v>99</v>
      </c>
      <c r="B10" s="2" t="s">
        <v>100</v>
      </c>
      <c r="C10" s="8" t="n">
        <v>68.934</v>
      </c>
      <c r="D10" s="2" t="s">
        <v>132</v>
      </c>
      <c r="E10" s="2" t="s">
        <v>156</v>
      </c>
      <c r="F10" s="2" t="s">
        <v>157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8" t="n">
        <v>95.5223</v>
      </c>
      <c r="D11" s="2" t="s">
        <v>132</v>
      </c>
      <c r="E11" s="2" t="s">
        <v>156</v>
      </c>
      <c r="F11" s="2" t="s">
        <v>157</v>
      </c>
    </row>
    <row r="12" customFormat="false" ht="15" hidden="false" customHeight="false" outlineLevel="0" collapsed="false">
      <c r="A12" s="2" t="s">
        <v>119</v>
      </c>
      <c r="B12" s="2" t="s">
        <v>120</v>
      </c>
      <c r="C12" s="8" t="n">
        <v>1009.3901</v>
      </c>
      <c r="D12" s="2" t="s">
        <v>132</v>
      </c>
      <c r="E12" s="2" t="s">
        <v>156</v>
      </c>
      <c r="F12" s="2" t="s">
        <v>157</v>
      </c>
    </row>
    <row r="13" customFormat="false" ht="15" hidden="false" customHeight="false" outlineLevel="0" collapsed="false">
      <c r="A13" s="2" t="s">
        <v>121</v>
      </c>
      <c r="B13" s="2" t="s">
        <v>122</v>
      </c>
      <c r="C13" s="8" t="n">
        <v>106.0873</v>
      </c>
      <c r="D13" s="2" t="s">
        <v>132</v>
      </c>
      <c r="E13" s="2" t="s">
        <v>156</v>
      </c>
      <c r="F13" s="2" t="s">
        <v>157</v>
      </c>
    </row>
  </sheetData>
  <autoFilter ref="A1:F13"/>
  <conditionalFormatting sqref="A2:F5000">
    <cfRule type="expression" priority="2" aboveAverage="0" equalAverage="0" bottom="0" percent="0" rank="0" text="" dxfId="5">
      <formula>$E2="FALLBACK"</formula>
    </cfRule>
    <cfRule type="expression" priority="3" aboveAverage="0" equalAverage="0" bottom="0" percent="0" rank="0" text="" dxfId="6">
      <formula>OR($E2="TO_VERIFY",$E2="SECONDARY")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3" t="s">
        <v>158</v>
      </c>
    </row>
    <row r="2" customFormat="false" ht="15" hidden="false" customHeight="false" outlineLevel="0" collapsed="false">
      <c r="A2" s="14" t="s">
        <v>159</v>
      </c>
    </row>
    <row r="3" customFormat="false" ht="15" hidden="false" customHeight="false" outlineLevel="0" collapsed="false">
      <c r="A3" s="14"/>
    </row>
    <row r="4" customFormat="false" ht="15" hidden="false" customHeight="false" outlineLevel="0" collapsed="false">
      <c r="A4" s="14" t="s">
        <v>160</v>
      </c>
    </row>
    <row r="5" customFormat="false" ht="15" hidden="false" customHeight="false" outlineLevel="0" collapsed="false">
      <c r="A5" s="14" t="s">
        <v>161</v>
      </c>
    </row>
    <row r="6" customFormat="false" ht="23.85" hidden="false" customHeight="false" outlineLevel="0" collapsed="false">
      <c r="A6" s="14" t="s">
        <v>162</v>
      </c>
    </row>
    <row r="7" customFormat="false" ht="15" hidden="false" customHeight="false" outlineLevel="0" collapsed="false">
      <c r="A7" s="14" t="s">
        <v>163</v>
      </c>
    </row>
    <row r="8" customFormat="false" ht="15" hidden="false" customHeight="false" outlineLevel="0" collapsed="false">
      <c r="A8" s="14" t="s">
        <v>164</v>
      </c>
    </row>
    <row r="9" customFormat="false" ht="15" hidden="false" customHeight="false" outlineLevel="0" collapsed="false">
      <c r="A9" s="14" t="s">
        <v>165</v>
      </c>
    </row>
    <row r="10" customFormat="false" ht="15" hidden="false" customHeight="false" outlineLevel="0" collapsed="false">
      <c r="A10" s="14" t="s">
        <v>166</v>
      </c>
    </row>
    <row r="11" customFormat="false" ht="15" hidden="false" customHeight="false" outlineLevel="0" collapsed="false">
      <c r="A11" s="14" t="s">
        <v>167</v>
      </c>
    </row>
    <row r="12" customFormat="false" ht="15" hidden="false" customHeight="false" outlineLevel="0" collapsed="false">
      <c r="A12" s="14" t="s">
        <v>168</v>
      </c>
    </row>
    <row r="13" customFormat="false" ht="15" hidden="false" customHeight="false" outlineLevel="0" collapsed="false">
      <c r="A13" s="14" t="s">
        <v>169</v>
      </c>
    </row>
    <row r="14" customFormat="false" ht="15" hidden="false" customHeight="false" outlineLevel="0" collapsed="false">
      <c r="A14" s="14" t="s">
        <v>170</v>
      </c>
    </row>
    <row r="15" customFormat="false" ht="15" hidden="false" customHeight="false" outlineLevel="0" collapsed="false">
      <c r="A15" s="14" t="s">
        <v>171</v>
      </c>
    </row>
    <row r="16" customFormat="false" ht="23.85" hidden="false" customHeight="false" outlineLevel="0" collapsed="false">
      <c r="A16" s="14" t="s">
        <v>172</v>
      </c>
    </row>
    <row r="17" customFormat="false" ht="15" hidden="false" customHeight="false" outlineLevel="0" collapsed="false">
      <c r="A17" s="14" t="s">
        <v>173</v>
      </c>
    </row>
    <row r="18" customFormat="false" ht="15" hidden="false" customHeight="false" outlineLevel="0" collapsed="false">
      <c r="A18" s="14" t="s">
        <v>174</v>
      </c>
    </row>
    <row r="19" customFormat="false" ht="15" hidden="false" customHeight="false" outlineLevel="0" collapsed="false">
      <c r="A19" s="14" t="s">
        <v>175</v>
      </c>
    </row>
    <row r="20" customFormat="false" ht="23.85" hidden="false" customHeight="false" outlineLevel="0" collapsed="false">
      <c r="A20" s="14" t="s">
        <v>176</v>
      </c>
    </row>
    <row r="21" customFormat="false" ht="15" hidden="false" customHeight="false" outlineLevel="0" collapsed="false">
      <c r="A21" s="14" t="s">
        <v>177</v>
      </c>
    </row>
    <row r="22" customFormat="false" ht="15" hidden="false" customHeight="false" outlineLevel="0" collapsed="false">
      <c r="A22" s="14" t="s">
        <v>178</v>
      </c>
    </row>
    <row r="23" customFormat="false" ht="15" hidden="false" customHeight="false" outlineLevel="0" collapsed="false">
      <c r="A23" s="14" t="s">
        <v>179</v>
      </c>
    </row>
    <row r="24" customFormat="false" ht="15" hidden="false" customHeight="false" outlineLevel="0" collapsed="false">
      <c r="A24" s="14" t="s">
        <v>180</v>
      </c>
    </row>
    <row r="25" customFormat="false" ht="15" hidden="false" customHeight="false" outlineLevel="0" collapsed="false">
      <c r="A25" s="14" t="s">
        <v>181</v>
      </c>
    </row>
    <row r="26" customFormat="false" ht="15" hidden="false" customHeight="false" outlineLevel="0" collapsed="false">
      <c r="A26" s="14" t="s">
        <v>182</v>
      </c>
    </row>
    <row r="27" customFormat="false" ht="15" hidden="false" customHeight="false" outlineLevel="0" collapsed="false">
      <c r="A27" s="14" t="s">
        <v>183</v>
      </c>
    </row>
    <row r="28" customFormat="false" ht="15" hidden="false" customHeight="false" outlineLevel="0" collapsed="false">
      <c r="A28" s="14" t="s">
        <v>184</v>
      </c>
    </row>
    <row r="29" customFormat="false" ht="15" hidden="false" customHeight="false" outlineLevel="0" collapsed="false">
      <c r="A29" s="14" t="s">
        <v>185</v>
      </c>
    </row>
    <row r="30" customFormat="false" ht="15" hidden="false" customHeight="false" outlineLevel="0" collapsed="false">
      <c r="A30" s="14" t="s">
        <v>186</v>
      </c>
    </row>
    <row r="31" customFormat="false" ht="15" hidden="false" customHeight="false" outlineLevel="0" collapsed="false">
      <c r="A31" s="14" t="s">
        <v>187</v>
      </c>
    </row>
    <row r="32" customFormat="false" ht="15" hidden="false" customHeight="false" outlineLevel="0" collapsed="false">
      <c r="A32" s="14" t="s">
        <v>188</v>
      </c>
    </row>
    <row r="33" customFormat="false" ht="15" hidden="false" customHeight="false" outlineLevel="0" collapsed="false">
      <c r="A33" s="14" t="s">
        <v>189</v>
      </c>
    </row>
    <row r="34" customFormat="false" ht="15" hidden="false" customHeight="false" outlineLevel="0" collapsed="false">
      <c r="A34" s="14" t="s">
        <v>190</v>
      </c>
    </row>
    <row r="35" customFormat="false" ht="15" hidden="false" customHeight="false" outlineLevel="0" collapsed="false">
      <c r="A35" s="14" t="s">
        <v>191</v>
      </c>
    </row>
    <row r="36" customFormat="false" ht="15" hidden="false" customHeight="false" outlineLevel="0" collapsed="false">
      <c r="A36" s="14" t="s">
        <v>192</v>
      </c>
    </row>
    <row r="37" customFormat="false" ht="15" hidden="false" customHeight="false" outlineLevel="0" collapsed="false">
      <c r="A37" s="14"/>
    </row>
    <row r="38" customFormat="false" ht="15" hidden="false" customHeight="false" outlineLevel="0" collapsed="false">
      <c r="A38" s="14" t="s">
        <v>160</v>
      </c>
    </row>
    <row r="39" customFormat="false" ht="15" hidden="false" customHeight="false" outlineLevel="0" collapsed="false">
      <c r="A39" s="14" t="s">
        <v>193</v>
      </c>
    </row>
    <row r="40" customFormat="false" ht="23.85" hidden="false" customHeight="false" outlineLevel="0" collapsed="false">
      <c r="A40" s="14" t="s">
        <v>194</v>
      </c>
    </row>
    <row r="41" customFormat="false" ht="15" hidden="false" customHeight="false" outlineLevel="0" collapsed="false">
      <c r="A41" s="14" t="s">
        <v>163</v>
      </c>
    </row>
    <row r="42" customFormat="false" ht="15" hidden="false" customHeight="false" outlineLevel="0" collapsed="false">
      <c r="A42" s="14" t="s">
        <v>164</v>
      </c>
    </row>
    <row r="43" customFormat="false" ht="15" hidden="false" customHeight="false" outlineLevel="0" collapsed="false">
      <c r="A43" s="14" t="s">
        <v>195</v>
      </c>
    </row>
    <row r="44" customFormat="false" ht="15" hidden="false" customHeight="false" outlineLevel="0" collapsed="false">
      <c r="A44" s="14" t="s">
        <v>168</v>
      </c>
    </row>
    <row r="45" customFormat="false" ht="15" hidden="false" customHeight="false" outlineLevel="0" collapsed="false">
      <c r="A45" s="14" t="s">
        <v>169</v>
      </c>
    </row>
    <row r="46" customFormat="false" ht="15" hidden="false" customHeight="false" outlineLevel="0" collapsed="false">
      <c r="A46" s="14" t="s">
        <v>170</v>
      </c>
    </row>
    <row r="47" customFormat="false" ht="15" hidden="false" customHeight="false" outlineLevel="0" collapsed="false">
      <c r="A47" s="14" t="s">
        <v>196</v>
      </c>
    </row>
    <row r="48" customFormat="false" ht="15" hidden="false" customHeight="false" outlineLevel="0" collapsed="false">
      <c r="A48" s="14" t="s">
        <v>173</v>
      </c>
    </row>
    <row r="49" customFormat="false" ht="15" hidden="false" customHeight="false" outlineLevel="0" collapsed="false">
      <c r="A49" s="14" t="s">
        <v>174</v>
      </c>
    </row>
    <row r="50" customFormat="false" ht="15" hidden="false" customHeight="false" outlineLevel="0" collapsed="false">
      <c r="A50" s="14" t="s">
        <v>175</v>
      </c>
    </row>
    <row r="51" customFormat="false" ht="15" hidden="false" customHeight="false" outlineLevel="0" collapsed="false">
      <c r="A51" s="14" t="s">
        <v>197</v>
      </c>
    </row>
    <row r="52" customFormat="false" ht="15" hidden="false" customHeight="false" outlineLevel="0" collapsed="false">
      <c r="A52" s="14" t="s">
        <v>177</v>
      </c>
    </row>
    <row r="53" customFormat="false" ht="15" hidden="false" customHeight="false" outlineLevel="0" collapsed="false">
      <c r="A53" s="14" t="s">
        <v>178</v>
      </c>
    </row>
    <row r="54" customFormat="false" ht="15" hidden="false" customHeight="false" outlineLevel="0" collapsed="false">
      <c r="A54" s="14" t="s">
        <v>179</v>
      </c>
    </row>
    <row r="55" customFormat="false" ht="15" hidden="false" customHeight="false" outlineLevel="0" collapsed="false">
      <c r="A55" s="14" t="s">
        <v>180</v>
      </c>
    </row>
    <row r="56" customFormat="false" ht="15" hidden="false" customHeight="false" outlineLevel="0" collapsed="false">
      <c r="A56" s="14" t="s">
        <v>181</v>
      </c>
    </row>
    <row r="57" customFormat="false" ht="15" hidden="false" customHeight="false" outlineLevel="0" collapsed="false">
      <c r="A57" s="14" t="s">
        <v>182</v>
      </c>
    </row>
    <row r="58" customFormat="false" ht="15" hidden="false" customHeight="false" outlineLevel="0" collapsed="false">
      <c r="A58" s="14" t="s">
        <v>183</v>
      </c>
    </row>
    <row r="59" customFormat="false" ht="15" hidden="false" customHeight="false" outlineLevel="0" collapsed="false">
      <c r="A59" s="14" t="s">
        <v>184</v>
      </c>
    </row>
    <row r="60" customFormat="false" ht="15" hidden="false" customHeight="false" outlineLevel="0" collapsed="false">
      <c r="A60" s="14" t="s">
        <v>185</v>
      </c>
    </row>
    <row r="61" customFormat="false" ht="15" hidden="false" customHeight="false" outlineLevel="0" collapsed="false">
      <c r="A61" s="14" t="s">
        <v>186</v>
      </c>
    </row>
    <row r="62" customFormat="false" ht="15" hidden="false" customHeight="false" outlineLevel="0" collapsed="false">
      <c r="A62" s="14" t="s">
        <v>187</v>
      </c>
    </row>
    <row r="63" customFormat="false" ht="15" hidden="false" customHeight="false" outlineLevel="0" collapsed="false">
      <c r="A63" s="14" t="s">
        <v>188</v>
      </c>
    </row>
    <row r="64" customFormat="false" ht="15" hidden="false" customHeight="false" outlineLevel="0" collapsed="false">
      <c r="A64" s="14" t="s">
        <v>189</v>
      </c>
    </row>
    <row r="65" customFormat="false" ht="15" hidden="false" customHeight="false" outlineLevel="0" collapsed="false">
      <c r="A65" s="14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" t="s">
        <v>198</v>
      </c>
      <c r="B1" s="14" t="s">
        <v>199</v>
      </c>
    </row>
    <row r="2" customFormat="false" ht="15" hidden="false" customHeight="false" outlineLevel="0" collapsed="false">
      <c r="A2" s="2" t="s">
        <v>200</v>
      </c>
      <c r="B2" s="14" t="s">
        <v>201</v>
      </c>
    </row>
    <row r="3" customFormat="false" ht="15" hidden="false" customHeight="false" outlineLevel="0" collapsed="false">
      <c r="A3" s="2" t="s">
        <v>202</v>
      </c>
      <c r="B3" s="14" t="s">
        <v>203</v>
      </c>
    </row>
    <row r="4" customFormat="false" ht="15" hidden="false" customHeight="false" outlineLevel="0" collapsed="false">
      <c r="A4" s="2" t="s">
        <v>204</v>
      </c>
      <c r="B4" s="14" t="s">
        <v>203</v>
      </c>
    </row>
    <row r="5" customFormat="false" ht="15" hidden="false" customHeight="false" outlineLevel="0" collapsed="false">
      <c r="A5" s="2" t="s">
        <v>205</v>
      </c>
      <c r="B5" s="14" t="s">
        <v>206</v>
      </c>
    </row>
    <row r="6" customFormat="false" ht="15" hidden="false" customHeight="false" outlineLevel="0" collapsed="false">
      <c r="A6" s="2" t="s">
        <v>207</v>
      </c>
      <c r="B6" s="14" t="s">
        <v>206</v>
      </c>
    </row>
    <row r="7" customFormat="false" ht="15" hidden="false" customHeight="false" outlineLevel="0" collapsed="false">
      <c r="A7" s="2" t="s">
        <v>208</v>
      </c>
      <c r="B7" s="14" t="s">
        <v>206</v>
      </c>
    </row>
    <row r="8" customFormat="false" ht="15" hidden="false" customHeight="false" outlineLevel="0" collapsed="false">
      <c r="A8" s="2" t="s">
        <v>209</v>
      </c>
      <c r="B8" s="14" t="s">
        <v>210</v>
      </c>
    </row>
    <row r="9" customFormat="false" ht="15" hidden="false" customHeight="false" outlineLevel="0" collapsed="false">
      <c r="A9" s="2" t="s">
        <v>211</v>
      </c>
      <c r="B9" s="14" t="s">
        <v>206</v>
      </c>
    </row>
    <row r="10" customFormat="false" ht="15" hidden="false" customHeight="false" outlineLevel="0" collapsed="false">
      <c r="A10" s="2" t="s">
        <v>212</v>
      </c>
      <c r="B10" s="14" t="s">
        <v>210</v>
      </c>
    </row>
    <row r="11" customFormat="false" ht="15" hidden="false" customHeight="false" outlineLevel="0" collapsed="false">
      <c r="A11" s="2" t="s">
        <v>213</v>
      </c>
      <c r="B11" s="14" t="s">
        <v>210</v>
      </c>
    </row>
    <row r="12" customFormat="false" ht="15" hidden="false" customHeight="false" outlineLevel="0" collapsed="false">
      <c r="A12" s="2" t="s">
        <v>214</v>
      </c>
      <c r="B12" s="14" t="s">
        <v>215</v>
      </c>
    </row>
    <row r="13" customFormat="false" ht="15" hidden="false" customHeight="false" outlineLevel="0" collapsed="false">
      <c r="A13" s="2" t="s">
        <v>115</v>
      </c>
      <c r="B13" s="14" t="s">
        <v>216</v>
      </c>
    </row>
    <row r="14" customFormat="false" ht="15" hidden="false" customHeight="false" outlineLevel="0" collapsed="false">
      <c r="A14" s="2" t="s">
        <v>217</v>
      </c>
      <c r="B14" s="14" t="s">
        <v>218</v>
      </c>
    </row>
    <row r="15" customFormat="false" ht="15" hidden="false" customHeight="false" outlineLevel="0" collapsed="false">
      <c r="A15" s="2" t="s">
        <v>219</v>
      </c>
      <c r="B15" s="14" t="s">
        <v>220</v>
      </c>
    </row>
    <row r="16" customFormat="false" ht="23.85" hidden="false" customHeight="false" outlineLevel="0" collapsed="false">
      <c r="A16" s="2" t="s">
        <v>221</v>
      </c>
      <c r="B16" s="14" t="s">
        <v>222</v>
      </c>
    </row>
    <row r="17" customFormat="false" ht="15" hidden="false" customHeight="false" outlineLevel="0" collapsed="false">
      <c r="A17" s="2" t="s">
        <v>223</v>
      </c>
      <c r="B17" s="14" t="s">
        <v>224</v>
      </c>
    </row>
    <row r="18" customFormat="false" ht="15" hidden="false" customHeight="false" outlineLevel="0" collapsed="false">
      <c r="A18" s="2" t="s">
        <v>225</v>
      </c>
      <c r="B18" s="14" t="s">
        <v>226</v>
      </c>
    </row>
    <row r="19" customFormat="false" ht="15" hidden="false" customHeight="false" outlineLevel="0" collapsed="false">
      <c r="A19" s="2"/>
      <c r="B19" s="14"/>
    </row>
    <row r="20" customFormat="false" ht="15" hidden="false" customHeight="false" outlineLevel="0" collapsed="false">
      <c r="A20" s="12" t="s">
        <v>227</v>
      </c>
      <c r="B20" s="14"/>
    </row>
    <row r="21" customFormat="false" ht="15" hidden="false" customHeight="false" outlineLevel="0" collapsed="false">
      <c r="A21" s="2" t="s">
        <v>228</v>
      </c>
      <c r="B21" s="14" t="s">
        <v>229</v>
      </c>
    </row>
    <row r="22" customFormat="false" ht="15" hidden="false" customHeight="false" outlineLevel="0" collapsed="false">
      <c r="A22" s="2" t="s">
        <v>87</v>
      </c>
      <c r="B22" s="14" t="s">
        <v>230</v>
      </c>
    </row>
    <row r="23" customFormat="false" ht="15" hidden="false" customHeight="false" outlineLevel="0" collapsed="false">
      <c r="A23" s="2" t="s">
        <v>231</v>
      </c>
      <c r="B23" s="14" t="s">
        <v>232</v>
      </c>
    </row>
    <row r="24" customFormat="false" ht="15" hidden="false" customHeight="false" outlineLevel="0" collapsed="false">
      <c r="A24" s="2" t="s">
        <v>114</v>
      </c>
      <c r="B24" s="14" t="s">
        <v>233</v>
      </c>
    </row>
    <row r="25" customFormat="false" ht="15" hidden="false" customHeight="false" outlineLevel="0" collapsed="false">
      <c r="A25" s="2" t="s">
        <v>234</v>
      </c>
      <c r="B25" s="14" t="s">
        <v>235</v>
      </c>
    </row>
    <row r="26" customFormat="false" ht="15" hidden="false" customHeight="false" outlineLevel="0" collapsed="false">
      <c r="A26" s="2" t="s">
        <v>70</v>
      </c>
      <c r="B26" s="14" t="s">
        <v>236</v>
      </c>
    </row>
    <row r="27" customFormat="false" ht="15" hidden="false" customHeight="false" outlineLevel="0" collapsed="false">
      <c r="A27" s="2" t="s">
        <v>64</v>
      </c>
      <c r="B27" s="14" t="s">
        <v>237</v>
      </c>
    </row>
    <row r="28" customFormat="false" ht="15" hidden="false" customHeight="false" outlineLevel="0" collapsed="false">
      <c r="A28" s="2" t="s">
        <v>91</v>
      </c>
      <c r="B28" s="14" t="s">
        <v>238</v>
      </c>
    </row>
    <row r="29" customFormat="false" ht="15" hidden="false" customHeight="false" outlineLevel="0" collapsed="false">
      <c r="A29" s="2" t="s">
        <v>75</v>
      </c>
      <c r="B29" s="14" t="s">
        <v>239</v>
      </c>
    </row>
    <row r="30" customFormat="false" ht="15" hidden="false" customHeight="false" outlineLevel="0" collapsed="false">
      <c r="A30" s="2" t="s">
        <v>115</v>
      </c>
      <c r="B30" s="14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2026-09-30T08:57:46Z</dcterms:created>
  <dc:creator>openpyxl</dc:creator>
  <dc:description/>
  <dc:language>en-US</dc:language>
  <cp:lastModifiedBy/>
  <dcterms:modified xsi:type="dcterms:W3CDTF">2026-09-30T08:57:47Z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